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EAC01670-DAA0-4790-A48C-57DB6217D6FB}" xr6:coauthVersionLast="47" xr6:coauthVersionMax="47" xr10:uidLastSave="{00000000-0000-0000-0000-000000000000}"/>
  <bookViews>
    <workbookView xWindow="-110" yWindow="-110" windowWidth="19420" windowHeight="10300" xr2:uid="{CDCC184D-2432-4721-9A7E-7ABA80A48DFC}"/>
  </bookViews>
  <sheets>
    <sheet name="Distance data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G20" i="2"/>
  <c r="F20" i="2"/>
  <c r="E20" i="2"/>
  <c r="D20" i="2"/>
  <c r="C20" i="2"/>
  <c r="B20" i="2"/>
  <c r="F19" i="2"/>
  <c r="E19" i="2"/>
  <c r="D19" i="2"/>
  <c r="C19" i="2"/>
  <c r="B19" i="2"/>
  <c r="E18" i="2"/>
  <c r="D18" i="2"/>
  <c r="C18" i="2"/>
  <c r="B18" i="2"/>
  <c r="D17" i="2"/>
  <c r="C17" i="2"/>
  <c r="B17" i="2"/>
  <c r="C16" i="2"/>
  <c r="B16" i="2"/>
  <c r="B15" i="2"/>
  <c r="J10" i="2"/>
  <c r="J9" i="2"/>
  <c r="I10" i="2" s="1"/>
  <c r="I13" i="1" s="1"/>
  <c r="J8" i="2"/>
  <c r="J11" i="1" s="1"/>
  <c r="I8" i="2"/>
  <c r="I11" i="1" s="1"/>
  <c r="H11" i="1"/>
  <c r="J7" i="2"/>
  <c r="J10" i="1" s="1"/>
  <c r="I7" i="2"/>
  <c r="I10" i="1" s="1"/>
  <c r="H7" i="2"/>
  <c r="H10" i="1" s="1"/>
  <c r="G10" i="1"/>
  <c r="J6" i="2"/>
  <c r="F10" i="2" s="1"/>
  <c r="F13" i="1" s="1"/>
  <c r="I6" i="2"/>
  <c r="I9" i="1" s="1"/>
  <c r="H6" i="2"/>
  <c r="H9" i="1" s="1"/>
  <c r="G6" i="2"/>
  <c r="G9" i="1" s="1"/>
  <c r="F9" i="1"/>
  <c r="J5" i="2"/>
  <c r="J8" i="1" s="1"/>
  <c r="I5" i="2"/>
  <c r="I8" i="1" s="1"/>
  <c r="H5" i="2"/>
  <c r="H8" i="1" s="1"/>
  <c r="G5" i="2"/>
  <c r="G8" i="1" s="1"/>
  <c r="F5" i="2"/>
  <c r="F8" i="1" s="1"/>
  <c r="J4" i="2"/>
  <c r="J7" i="1" s="1"/>
  <c r="I4" i="2"/>
  <c r="I7" i="1" s="1"/>
  <c r="H4" i="2"/>
  <c r="H7" i="1" s="1"/>
  <c r="G4" i="2"/>
  <c r="G7" i="1" s="1"/>
  <c r="F4" i="2"/>
  <c r="F7" i="1" s="1"/>
  <c r="E4" i="2"/>
  <c r="E7" i="1" s="1"/>
  <c r="J3" i="2"/>
  <c r="J6" i="1" s="1"/>
  <c r="I3" i="2"/>
  <c r="I6" i="1" s="1"/>
  <c r="H3" i="2"/>
  <c r="H6" i="1" s="1"/>
  <c r="G3" i="2"/>
  <c r="G6" i="1" s="1"/>
  <c r="F3" i="2"/>
  <c r="F6" i="1" s="1"/>
  <c r="E3" i="2"/>
  <c r="E6" i="1" s="1"/>
  <c r="D3" i="2"/>
  <c r="D6" i="1" s="1"/>
  <c r="J2" i="2"/>
  <c r="J5" i="1" s="1"/>
  <c r="I2" i="2"/>
  <c r="I5" i="1" s="1"/>
  <c r="H2" i="2"/>
  <c r="H5" i="1" s="1"/>
  <c r="G2" i="2"/>
  <c r="G5" i="1" s="1"/>
  <c r="F2" i="2"/>
  <c r="B6" i="2" s="1"/>
  <c r="B9" i="1" s="1"/>
  <c r="E2" i="2"/>
  <c r="E5" i="1" s="1"/>
  <c r="D2" i="2"/>
  <c r="D5" i="1" s="1"/>
  <c r="C2" i="2"/>
  <c r="C5" i="1" s="1"/>
  <c r="B2" i="2"/>
  <c r="B5" i="1" s="1"/>
  <c r="J13" i="1"/>
  <c r="I12" i="1"/>
  <c r="E8" i="1"/>
  <c r="D7" i="1"/>
  <c r="C6" i="1"/>
  <c r="J12" i="1" l="1"/>
  <c r="J9" i="1"/>
  <c r="D5" i="2"/>
  <c r="D8" i="1" s="1"/>
  <c r="D9" i="2"/>
  <c r="D12" i="1" s="1"/>
  <c r="D10" i="2"/>
  <c r="D13" i="1" s="1"/>
  <c r="E8" i="2"/>
  <c r="E11" i="1" s="1"/>
  <c r="F8" i="2"/>
  <c r="F11" i="1" s="1"/>
  <c r="B4" i="2"/>
  <c r="B7" i="1" s="1"/>
  <c r="F9" i="2"/>
  <c r="F12" i="1" s="1"/>
  <c r="B8" i="2"/>
  <c r="B11" i="1" s="1"/>
  <c r="G9" i="2"/>
  <c r="G12" i="1" s="1"/>
  <c r="B9" i="2"/>
  <c r="B12" i="1" s="1"/>
  <c r="C7" i="2"/>
  <c r="C10" i="1" s="1"/>
  <c r="C8" i="2"/>
  <c r="C11" i="1" s="1"/>
  <c r="B10" i="2"/>
  <c r="B13" i="1" s="1"/>
  <c r="C9" i="2"/>
  <c r="C12" i="1" s="1"/>
  <c r="E6" i="2"/>
  <c r="E9" i="1" s="1"/>
  <c r="B3" i="2"/>
  <c r="B6" i="1" s="1"/>
  <c r="C10" i="2"/>
  <c r="C13" i="1" s="1"/>
  <c r="E7" i="2"/>
  <c r="E10" i="1" s="1"/>
  <c r="G8" i="2"/>
  <c r="G11" i="1" s="1"/>
  <c r="F5" i="1"/>
  <c r="B5" i="2"/>
  <c r="B8" i="1" s="1"/>
  <c r="C4" i="2"/>
  <c r="C7" i="1" s="1"/>
  <c r="D6" i="2"/>
  <c r="D9" i="1" s="1"/>
  <c r="E9" i="2"/>
  <c r="E12" i="1" s="1"/>
  <c r="G10" i="2"/>
  <c r="G13" i="1" s="1"/>
  <c r="C5" i="2"/>
  <c r="C8" i="1" s="1"/>
  <c r="D7" i="2"/>
  <c r="D10" i="1" s="1"/>
  <c r="E10" i="2"/>
  <c r="E13" i="1" s="1"/>
  <c r="H9" i="2"/>
  <c r="H12" i="1" s="1"/>
  <c r="B7" i="2"/>
  <c r="B10" i="1" s="1"/>
  <c r="C6" i="2"/>
  <c r="C9" i="1" s="1"/>
  <c r="D8" i="2"/>
  <c r="D11" i="1" s="1"/>
  <c r="F7" i="2"/>
  <c r="F10" i="1" s="1"/>
  <c r="H10" i="2"/>
  <c r="H13" i="1" s="1"/>
</calcChain>
</file>

<file path=xl/sharedStrings.xml><?xml version="1.0" encoding="utf-8"?>
<sst xmlns="http://schemas.openxmlformats.org/spreadsheetml/2006/main" count="58" uniqueCount="11">
  <si>
    <t>From/ To</t>
  </si>
  <si>
    <t>Depot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</si>
  <si>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</si>
  <si>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</si>
  <si>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</si>
  <si>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</si>
  <si>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</si>
  <si>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</si>
  <si>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</si>
  <si>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</si>
  <si>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Enter last 2 digits of 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</si>
</sst>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5" xfId="0" applyBorder="1"/>
    <xf numFmtId="0" fontId="0" fillId="0" borderId="11" xfId="0" applyBorder="1"/>
    <xf numFmtId="0" fontId="0" fillId="0" borderId="10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33" borderId="16" xfId="0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ECA3-3A38-4842-A7B7-204A6397A54A}">
  <dimension ref="A1:J13"/>
  <sheetViews>
    <sheetView showGridLines="0" tabSelected="1" zoomScale="110" zoomScaleNormal="110" workbookViewId="0">
      <selection activeCell="B1" sqref="B1"/>
    </sheetView>
  </sheetViews>
  <sheetFormatPr defaultRowHeight="14.5" x14ac:dyDescent="0.35"/>
  <cols>
    <col min="1" max="10" width="11.6328125" customWidth="1"/>
    <col min="11" max="11" width="6.26953125" customWidth="1"/>
    <col min="12" max="12" width="28.54296875" bestFit="1" customWidth="1"/>
  </cols>
  <sheetData>
    <row r="1" spans="1:10" ht="19.5" customHeight="1" x14ac:dyDescent="0.4">
      <c r="B1" s="19"/>
      <c r="C1" s="19"/>
      <c r="D1" s="19"/>
      <c r="E1" s="15" t="s">
        <v>10</v>
      </c>
      <c r="F1" s="15"/>
      <c r="G1" s="15"/>
      <c r="H1" s="19"/>
      <c r="I1" s="19"/>
      <c r="J1" s="19"/>
    </row>
    <row r="2" spans="1:10" ht="19" customHeight="1" x14ac:dyDescent="0.4">
      <c r="B2" s="19"/>
      <c r="C2" s="19"/>
      <c r="D2" s="19"/>
      <c r="E2" s="16">
        <v>67</v>
      </c>
      <c r="F2" s="17"/>
      <c r="G2" s="18"/>
      <c r="H2" s="19"/>
      <c r="I2" s="19"/>
      <c r="J2" s="19"/>
    </row>
    <row r="3" spans="1:10" ht="16" customHeight="1" x14ac:dyDescent="0.35"/>
    <row r="4" spans="1:10" ht="16" customHeight="1" x14ac:dyDescent="0.3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</row>
    <row r="5" spans="1:10" ht="16" customHeight="1" x14ac:dyDescent="0.35">
      <c r="A5" s="1" t="s">
        <v>1</v>
      </c>
      <c r="B5" s="6">
        <f>ROUND(Sheet1!B2,0)</f>
        <v>0</v>
      </c>
      <c r="C5" s="7">
        <f>ROUND(Sheet1!C2,0)</f>
        <v>72</v>
      </c>
      <c r="D5" s="7">
        <f>ROUND(Sheet1!D2,0)</f>
        <v>37</v>
      </c>
      <c r="E5" s="7">
        <f>ROUND(Sheet1!E2,0)</f>
        <v>82</v>
      </c>
      <c r="F5" s="7">
        <f>ROUND(Sheet1!F2,0)</f>
        <v>42</v>
      </c>
      <c r="G5" s="7">
        <f>ROUND(Sheet1!G2,0)</f>
        <v>73</v>
      </c>
      <c r="H5" s="7">
        <f>ROUND(Sheet1!H2,0)</f>
        <v>70</v>
      </c>
      <c r="I5" s="7">
        <f>ROUND(Sheet1!I2,0)</f>
        <v>52</v>
      </c>
      <c r="J5" s="8">
        <f>ROUND(Sheet1!J2,0)</f>
        <v>23</v>
      </c>
    </row>
    <row r="6" spans="1:10" ht="16" customHeight="1" x14ac:dyDescent="0.35">
      <c r="A6" s="1" t="s">
        <v>2</v>
      </c>
      <c r="B6" s="9">
        <f>ROUND(Sheet1!B3,0)</f>
        <v>72</v>
      </c>
      <c r="C6" s="10">
        <f>ROUND(Sheet1!C3,0)</f>
        <v>0</v>
      </c>
      <c r="D6" s="10">
        <f>ROUND(Sheet1!D3,0)</f>
        <v>42</v>
      </c>
      <c r="E6" s="10">
        <f>ROUND(Sheet1!E3,0)</f>
        <v>52</v>
      </c>
      <c r="F6" s="10">
        <f>ROUND(Sheet1!F3,0)</f>
        <v>50</v>
      </c>
      <c r="G6" s="10">
        <f>ROUND(Sheet1!G3,0)</f>
        <v>64</v>
      </c>
      <c r="H6" s="10">
        <f>ROUND(Sheet1!H3,0)</f>
        <v>25</v>
      </c>
      <c r="I6" s="10">
        <f>ROUND(Sheet1!I3,0)</f>
        <v>46</v>
      </c>
      <c r="J6" s="11">
        <f>ROUND(Sheet1!J3,0)</f>
        <v>70</v>
      </c>
    </row>
    <row r="7" spans="1:10" ht="16" customHeight="1" x14ac:dyDescent="0.35">
      <c r="A7" s="1" t="s">
        <v>3</v>
      </c>
      <c r="B7" s="9">
        <f>ROUND(Sheet1!B4,0)</f>
        <v>37</v>
      </c>
      <c r="C7" s="10">
        <f>ROUND(Sheet1!C4,0)</f>
        <v>42</v>
      </c>
      <c r="D7" s="10">
        <f>ROUND(Sheet1!D4,0)</f>
        <v>0</v>
      </c>
      <c r="E7" s="10">
        <f>ROUND(Sheet1!E4,0)</f>
        <v>31</v>
      </c>
      <c r="F7" s="10">
        <f>ROUND(Sheet1!F4,0)</f>
        <v>51</v>
      </c>
      <c r="G7" s="10">
        <f>ROUND(Sheet1!G4,0)</f>
        <v>79</v>
      </c>
      <c r="H7" s="10">
        <f>ROUND(Sheet1!H4,0)</f>
        <v>56</v>
      </c>
      <c r="I7" s="10">
        <f>ROUND(Sheet1!I4,0)</f>
        <v>47</v>
      </c>
      <c r="J7" s="11">
        <f>ROUND(Sheet1!J4,0)</f>
        <v>86</v>
      </c>
    </row>
    <row r="8" spans="1:10" ht="16" customHeight="1" x14ac:dyDescent="0.35">
      <c r="A8" s="1" t="s">
        <v>4</v>
      </c>
      <c r="B8" s="9">
        <f>ROUND(Sheet1!B5,0)</f>
        <v>82</v>
      </c>
      <c r="C8" s="10">
        <f>ROUND(Sheet1!C5,0)</f>
        <v>52</v>
      </c>
      <c r="D8" s="10">
        <f>ROUND(Sheet1!D5,0)</f>
        <v>31</v>
      </c>
      <c r="E8" s="10">
        <f>ROUND(Sheet1!E5,0)</f>
        <v>0</v>
      </c>
      <c r="F8" s="10">
        <f>ROUND(Sheet1!F5,0)</f>
        <v>76</v>
      </c>
      <c r="G8" s="10">
        <f>ROUND(Sheet1!G5,0)</f>
        <v>39</v>
      </c>
      <c r="H8" s="10">
        <f>ROUND(Sheet1!H5,0)</f>
        <v>47</v>
      </c>
      <c r="I8" s="10">
        <f>ROUND(Sheet1!I5,0)</f>
        <v>31</v>
      </c>
      <c r="J8" s="11">
        <f>ROUND(Sheet1!J5,0)</f>
        <v>49</v>
      </c>
    </row>
    <row r="9" spans="1:10" ht="16" customHeight="1" x14ac:dyDescent="0.35">
      <c r="A9" s="1" t="s">
        <v>5</v>
      </c>
      <c r="B9" s="9">
        <f>ROUND(Sheet1!B6,0)</f>
        <v>42</v>
      </c>
      <c r="C9" s="10">
        <f>ROUND(Sheet1!C6,0)</f>
        <v>50</v>
      </c>
      <c r="D9" s="10">
        <f>ROUND(Sheet1!D6,0)</f>
        <v>51</v>
      </c>
      <c r="E9" s="10">
        <f>ROUND(Sheet1!E6,0)</f>
        <v>76</v>
      </c>
      <c r="F9" s="10">
        <f>ROUND(Sheet1!F6,0)</f>
        <v>0</v>
      </c>
      <c r="G9" s="10">
        <f>ROUND(Sheet1!G6,0)</f>
        <v>56</v>
      </c>
      <c r="H9" s="10">
        <f>ROUND(Sheet1!H6,0)</f>
        <v>61</v>
      </c>
      <c r="I9" s="10">
        <f>ROUND(Sheet1!I6,0)</f>
        <v>49</v>
      </c>
      <c r="J9" s="11">
        <f>ROUND(Sheet1!J6,0)</f>
        <v>80</v>
      </c>
    </row>
    <row r="10" spans="1:10" ht="16" customHeight="1" x14ac:dyDescent="0.35">
      <c r="A10" s="1" t="s">
        <v>6</v>
      </c>
      <c r="B10" s="9">
        <f>ROUND(Sheet1!B7,0)</f>
        <v>73</v>
      </c>
      <c r="C10" s="10">
        <f>ROUND(Sheet1!C7,0)</f>
        <v>64</v>
      </c>
      <c r="D10" s="10">
        <f>ROUND(Sheet1!D7,0)</f>
        <v>79</v>
      </c>
      <c r="E10" s="10">
        <f>ROUND(Sheet1!E7,0)</f>
        <v>39</v>
      </c>
      <c r="F10" s="10">
        <f>ROUND(Sheet1!F7,0)</f>
        <v>56</v>
      </c>
      <c r="G10" s="10">
        <f>ROUND(Sheet1!G7,0)</f>
        <v>0</v>
      </c>
      <c r="H10" s="10">
        <f>ROUND(Sheet1!H7,0)</f>
        <v>27</v>
      </c>
      <c r="I10" s="10">
        <f>ROUND(Sheet1!I7,0)</f>
        <v>33</v>
      </c>
      <c r="J10" s="11">
        <f>ROUND(Sheet1!J7,0)</f>
        <v>33</v>
      </c>
    </row>
    <row r="11" spans="1:10" x14ac:dyDescent="0.35">
      <c r="A11" s="1" t="s">
        <v>7</v>
      </c>
      <c r="B11" s="9">
        <f>ROUND(Sheet1!B8,0)</f>
        <v>70</v>
      </c>
      <c r="C11" s="10">
        <f>ROUND(Sheet1!C8,0)</f>
        <v>25</v>
      </c>
      <c r="D11" s="10">
        <f>ROUND(Sheet1!D8,0)</f>
        <v>56</v>
      </c>
      <c r="E11" s="10">
        <f>ROUND(Sheet1!E8,0)</f>
        <v>47</v>
      </c>
      <c r="F11" s="10">
        <f>ROUND(Sheet1!F8,0)</f>
        <v>61</v>
      </c>
      <c r="G11" s="10">
        <f>ROUND(Sheet1!G8,0)</f>
        <v>27</v>
      </c>
      <c r="H11" s="10">
        <f>ROUND(Sheet1!H8,0)</f>
        <v>0</v>
      </c>
      <c r="I11" s="10">
        <f>ROUND(Sheet1!I8,0)</f>
        <v>20</v>
      </c>
      <c r="J11" s="11">
        <f>ROUND(Sheet1!J8,0)</f>
        <v>36</v>
      </c>
    </row>
    <row r="12" spans="1:10" x14ac:dyDescent="0.35">
      <c r="A12" s="1" t="s">
        <v>8</v>
      </c>
      <c r="B12" s="9">
        <f>ROUND(Sheet1!B9,0)</f>
        <v>52</v>
      </c>
      <c r="C12" s="10">
        <f>ROUND(Sheet1!C9,0)</f>
        <v>46</v>
      </c>
      <c r="D12" s="10">
        <f>ROUND(Sheet1!D9,0)</f>
        <v>47</v>
      </c>
      <c r="E12" s="10">
        <f>ROUND(Sheet1!E9,0)</f>
        <v>31</v>
      </c>
      <c r="F12" s="10">
        <f>ROUND(Sheet1!F9,0)</f>
        <v>49</v>
      </c>
      <c r="G12" s="10">
        <f>ROUND(Sheet1!G9,0)</f>
        <v>33</v>
      </c>
      <c r="H12" s="10">
        <f>ROUND(Sheet1!H9,0)</f>
        <v>20</v>
      </c>
      <c r="I12" s="10">
        <f>ROUND(Sheet1!I9,0)</f>
        <v>0</v>
      </c>
      <c r="J12" s="11">
        <f>ROUND(Sheet1!J9,0)</f>
        <v>25</v>
      </c>
    </row>
    <row r="13" spans="1:10" x14ac:dyDescent="0.35">
      <c r="A13" s="2" t="s">
        <v>9</v>
      </c>
      <c r="B13" s="12">
        <f>ROUND(Sheet1!B10,0)</f>
        <v>23</v>
      </c>
      <c r="C13" s="13">
        <f>ROUND(Sheet1!C10,0)</f>
        <v>70</v>
      </c>
      <c r="D13" s="13">
        <f>ROUND(Sheet1!D10,0)</f>
        <v>86</v>
      </c>
      <c r="E13" s="13">
        <f>ROUND(Sheet1!E10,0)</f>
        <v>49</v>
      </c>
      <c r="F13" s="13">
        <f>ROUND(Sheet1!F10,0)</f>
        <v>80</v>
      </c>
      <c r="G13" s="13">
        <f>ROUND(Sheet1!G10,0)</f>
        <v>33</v>
      </c>
      <c r="H13" s="13">
        <f>ROUND(Sheet1!H10,0)</f>
        <v>36</v>
      </c>
      <c r="I13" s="13">
        <f>ROUND(Sheet1!I10,0)</f>
        <v>25</v>
      </c>
      <c r="J13" s="14">
        <f>ROUND(Sheet1!J10,0)</f>
        <v>0</v>
      </c>
    </row>
  </sheetData>
  <mergeCells count="2">
    <mergeCell ref="E1:G1"/>
    <mergeCell ref="E2:G2"/>
  </mergeCells>
  <pageMargins left="0.7" right="0.7" top="0.75" bottom="0.75" header="0.3" footer="0.3"/>
  <headerFooter>
    <oddHeader>&amp;C&amp;"Calibri"&amp;10&amp;K000000 Official (Closed) \ Non-Sensitive&amp;1#_x000D_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FB30-F2B3-46AC-B676-AF6EEF7BDCF2}">
  <dimension ref="A1:J22"/>
  <sheetViews>
    <sheetView workbookViewId="0">
      <selection activeCell="L19" sqref="L19"/>
    </sheetView>
  </sheetViews>
  <sheetFormatPr defaultRowHeight="14.5" x14ac:dyDescent="0.35"/>
  <cols>
    <col min="1" max="1" width="10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</v>
      </c>
      <c r="B2">
        <f>B14</f>
        <v>0</v>
      </c>
      <c r="C2">
        <f>IF((C14+'Distance data'!$E$2/2)&gt;90,C14,C14+'Distance data'!$E$2/2)</f>
        <v>72</v>
      </c>
      <c r="D2">
        <f>IF(ABS(D14-'Distance data'!$E$2)&lt;30,D14,ABS(D14-'Distance data'!$E$2))</f>
        <v>37</v>
      </c>
      <c r="E2">
        <f>IF((E14+'Distance data'!$E$2)&gt;90,E14,E14+'Distance data'!$E$2)</f>
        <v>82</v>
      </c>
      <c r="F2">
        <f>IF(ABS(F14-'Distance data'!$E$2)&lt;20,Sheet1!F14,ABS(Sheet1!F14-'Distance data'!$E$2))</f>
        <v>42</v>
      </c>
      <c r="G2">
        <f>IF((G14+'Distance data'!$E$2*2)&gt;90,G14,G14+'Distance data'!$E$2)</f>
        <v>73</v>
      </c>
      <c r="H2">
        <f>IF(ABS(H14-'Distance data'!$E$2)&lt;20,Sheet1!H14,ABS(Sheet1!H14-'Distance data'!$E$2))</f>
        <v>70</v>
      </c>
      <c r="I2">
        <f>IF((I14+'Distance data'!$E$2*3)&gt;90,I14,I14+'Distance data'!$E$2)</f>
        <v>52</v>
      </c>
      <c r="J2">
        <f>IF(ABS(J14-'Distance data'!$E$2)&lt;20,Sheet1!J14,ABS(Sheet1!J14-'Distance data'!$E$2))</f>
        <v>23</v>
      </c>
    </row>
    <row r="3" spans="1:10" x14ac:dyDescent="0.35">
      <c r="A3" t="s">
        <v>2</v>
      </c>
      <c r="B3">
        <f>C2</f>
        <v>72</v>
      </c>
      <c r="C3">
        <v>0</v>
      </c>
      <c r="D3">
        <f>IF(ABS(D15-'Distance data'!$E$2)&lt;30,D15,ABS(D15-'Distance data'!$E$2))</f>
        <v>42</v>
      </c>
      <c r="E3">
        <f>IF((E15+'Distance data'!$E$2)&gt;90,E15,E15+'Distance data'!$E$2)</f>
        <v>52</v>
      </c>
      <c r="F3">
        <f>IF(ABS(F15-'Distance data'!$E$2)&lt;20,Sheet1!F15,ABS(Sheet1!F15-'Distance data'!$E$2))</f>
        <v>50</v>
      </c>
      <c r="G3">
        <f>IF((G15+'Distance data'!$E$2*2)&gt;90,G15,G15+'Distance data'!$E$2)</f>
        <v>64</v>
      </c>
      <c r="H3">
        <f>IF(ABS(H15-'Distance data'!$E$2)&lt;20,Sheet1!H15,ABS(Sheet1!H15-'Distance data'!$E$2))</f>
        <v>25</v>
      </c>
      <c r="I3">
        <f>IF((I15+'Distance data'!$E$2*3)&gt;90,I15,I15+'Distance data'!$E$2)</f>
        <v>46</v>
      </c>
      <c r="J3">
        <f>IF(ABS(J15-'Distance data'!$E$2)&lt;20,Sheet1!J15,ABS(Sheet1!J15-'Distance data'!$E$2))</f>
        <v>70</v>
      </c>
    </row>
    <row r="4" spans="1:10" x14ac:dyDescent="0.35">
      <c r="A4" t="s">
        <v>3</v>
      </c>
      <c r="B4">
        <f>D2</f>
        <v>37</v>
      </c>
      <c r="C4">
        <f>D3</f>
        <v>42</v>
      </c>
      <c r="D4">
        <v>0</v>
      </c>
      <c r="E4">
        <f>IF((E16+'Distance data'!$E$2)&gt;90,E16,E16+'Distance data'!$E$2)</f>
        <v>31</v>
      </c>
      <c r="F4">
        <f>IF(ABS(F16-'Distance data'!$E$2)&lt;20,Sheet1!F16,ABS(Sheet1!F16-'Distance data'!$E$2))</f>
        <v>51</v>
      </c>
      <c r="G4">
        <f>IF((G16+'Distance data'!$E$2*2)&gt;90,G16,G16+'Distance data'!$E$2)</f>
        <v>79</v>
      </c>
      <c r="H4">
        <f>IF(ABS(H16-'Distance data'!$E$2)&lt;20,Sheet1!H16,ABS(Sheet1!H16-'Distance data'!$E$2))</f>
        <v>56</v>
      </c>
      <c r="I4">
        <f>IF((I16+'Distance data'!$E$2*3)&gt;90,I16,I16+'Distance data'!$E$2)</f>
        <v>47</v>
      </c>
      <c r="J4">
        <f>IF(ABS(J16-'Distance data'!$E$2)&lt;20,Sheet1!J16,ABS(Sheet1!J16-'Distance data'!$E$2))</f>
        <v>86</v>
      </c>
    </row>
    <row r="5" spans="1:10" x14ac:dyDescent="0.35">
      <c r="A5" t="s">
        <v>4</v>
      </c>
      <c r="B5">
        <f>E2</f>
        <v>82</v>
      </c>
      <c r="C5">
        <f>E3</f>
        <v>52</v>
      </c>
      <c r="D5">
        <f>E4</f>
        <v>31</v>
      </c>
      <c r="E5">
        <v>0</v>
      </c>
      <c r="F5">
        <f>IF(ABS(F17-'Distance data'!$E$2)&lt;20,Sheet1!F17,ABS(Sheet1!F17-'Distance data'!$E$2))</f>
        <v>76</v>
      </c>
      <c r="G5">
        <f>IF((G17+'Distance data'!$E$2*2)&gt;90,G17,G17+'Distance data'!$E$2)</f>
        <v>39</v>
      </c>
      <c r="H5">
        <f>IF(ABS(H17-'Distance data'!$E$2)&lt;20,Sheet1!H17,ABS(Sheet1!H17-'Distance data'!$E$2))</f>
        <v>47</v>
      </c>
      <c r="I5">
        <f>IF((I17+'Distance data'!$E$2*3)&gt;90,I17,I17+'Distance data'!$E$2)</f>
        <v>31</v>
      </c>
      <c r="J5">
        <f>IF(ABS(J17-'Distance data'!$E$2)&lt;20,Sheet1!J17,ABS(Sheet1!J17-'Distance data'!$E$2))</f>
        <v>49</v>
      </c>
    </row>
    <row r="6" spans="1:10" x14ac:dyDescent="0.35">
      <c r="A6" t="s">
        <v>5</v>
      </c>
      <c r="B6">
        <f>F2</f>
        <v>42</v>
      </c>
      <c r="C6">
        <f>F3</f>
        <v>50</v>
      </c>
      <c r="D6">
        <f>F4</f>
        <v>51</v>
      </c>
      <c r="E6">
        <f>F5</f>
        <v>76</v>
      </c>
      <c r="F6">
        <v>0</v>
      </c>
      <c r="G6">
        <f>IF((G18+'Distance data'!$E$2*2)&gt;90,G18,G18+'Distance data'!$E$2)</f>
        <v>56</v>
      </c>
      <c r="H6">
        <f>IF(ABS(H18-'Distance data'!$E$2)&lt;20,Sheet1!H18,ABS(Sheet1!H18-'Distance data'!$E$2))</f>
        <v>61</v>
      </c>
      <c r="I6">
        <f>IF((I18+'Distance data'!$E$2*3)&gt;90,I18,I18+'Distance data'!$E$2)</f>
        <v>49</v>
      </c>
      <c r="J6">
        <f>IF(ABS(J18-'Distance data'!$E$2)&lt;20,Sheet1!J18,ABS(Sheet1!J18-'Distance data'!$E$2))</f>
        <v>80</v>
      </c>
    </row>
    <row r="7" spans="1:10" x14ac:dyDescent="0.35">
      <c r="A7" t="s">
        <v>6</v>
      </c>
      <c r="B7">
        <f>G2</f>
        <v>73</v>
      </c>
      <c r="C7">
        <f>G3</f>
        <v>64</v>
      </c>
      <c r="D7">
        <f>G4</f>
        <v>79</v>
      </c>
      <c r="E7">
        <f>G5</f>
        <v>39</v>
      </c>
      <c r="F7">
        <f>G6</f>
        <v>56</v>
      </c>
      <c r="G7">
        <v>0</v>
      </c>
      <c r="H7">
        <f>IF(ABS(H19-'Distance data'!$E$2)&lt;20,Sheet1!H19,ABS(Sheet1!H19-'Distance data'!$E$2))</f>
        <v>27</v>
      </c>
      <c r="I7">
        <f>IF((I19+'Distance data'!$E$2*3)&gt;90,I19,I19+'Distance data'!$E$2)</f>
        <v>33</v>
      </c>
      <c r="J7">
        <f>IF(ABS(J19-'Distance data'!$E$2)&lt;20,Sheet1!J19,ABS(Sheet1!J19-'Distance data'!$E$2))</f>
        <v>33</v>
      </c>
    </row>
    <row r="8" spans="1:10" x14ac:dyDescent="0.35">
      <c r="A8" t="s">
        <v>7</v>
      </c>
      <c r="B8">
        <f>H2</f>
        <v>70</v>
      </c>
      <c r="C8">
        <f>H3</f>
        <v>25</v>
      </c>
      <c r="D8">
        <f>H4</f>
        <v>56</v>
      </c>
      <c r="E8">
        <f>H5</f>
        <v>47</v>
      </c>
      <c r="F8">
        <f>H6</f>
        <v>61</v>
      </c>
      <c r="G8">
        <f>H7</f>
        <v>27</v>
      </c>
      <c r="H8">
        <v>0</v>
      </c>
      <c r="I8">
        <f>IF((I20+'Distance data'!$E$2*3)&gt;90,I20,I20+'Distance data'!$E$2)</f>
        <v>20</v>
      </c>
      <c r="J8">
        <f>IF(ABS(J20-'Distance data'!$E$2)&lt;20,Sheet1!J20,ABS(Sheet1!J20-'Distance data'!$E$2))</f>
        <v>36</v>
      </c>
    </row>
    <row r="9" spans="1:10" x14ac:dyDescent="0.35">
      <c r="A9" t="s">
        <v>8</v>
      </c>
      <c r="B9">
        <f>I2</f>
        <v>52</v>
      </c>
      <c r="C9">
        <f>I3</f>
        <v>46</v>
      </c>
      <c r="D9">
        <f>I4</f>
        <v>47</v>
      </c>
      <c r="E9">
        <f>I5</f>
        <v>31</v>
      </c>
      <c r="F9">
        <f>I6</f>
        <v>49</v>
      </c>
      <c r="G9">
        <f>I7</f>
        <v>33</v>
      </c>
      <c r="H9">
        <f>I8</f>
        <v>20</v>
      </c>
      <c r="I9">
        <v>0</v>
      </c>
      <c r="J9">
        <f>IF(ABS(J21-'Distance data'!$E$2)&lt;20,Sheet1!J21,ABS(Sheet1!J21-'Distance data'!$E$2))</f>
        <v>25</v>
      </c>
    </row>
    <row r="10" spans="1:10" x14ac:dyDescent="0.35">
      <c r="A10" t="s">
        <v>9</v>
      </c>
      <c r="B10">
        <f>J2</f>
        <v>23</v>
      </c>
      <c r="C10">
        <f>J3</f>
        <v>70</v>
      </c>
      <c r="D10">
        <f>J4</f>
        <v>86</v>
      </c>
      <c r="E10">
        <f>J5</f>
        <v>49</v>
      </c>
      <c r="F10">
        <f>J6</f>
        <v>80</v>
      </c>
      <c r="G10">
        <f>J7</f>
        <v>33</v>
      </c>
      <c r="H10">
        <f>J8</f>
        <v>36</v>
      </c>
      <c r="I10">
        <f>J9</f>
        <v>25</v>
      </c>
      <c r="J10">
        <f>J22</f>
        <v>0</v>
      </c>
    </row>
    <row r="13" spans="1:10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</row>
    <row r="14" spans="1:10" x14ac:dyDescent="0.35">
      <c r="A14" t="s">
        <v>1</v>
      </c>
      <c r="B14">
        <v>0</v>
      </c>
      <c r="C14">
        <v>72</v>
      </c>
      <c r="D14">
        <v>30</v>
      </c>
      <c r="E14">
        <v>82</v>
      </c>
      <c r="F14">
        <v>25</v>
      </c>
      <c r="G14">
        <v>73</v>
      </c>
      <c r="H14">
        <v>70</v>
      </c>
      <c r="I14">
        <v>52</v>
      </c>
      <c r="J14">
        <v>90</v>
      </c>
    </row>
    <row r="15" spans="1:10" x14ac:dyDescent="0.35">
      <c r="A15" t="s">
        <v>2</v>
      </c>
      <c r="B15">
        <f>C14</f>
        <v>72</v>
      </c>
      <c r="C15">
        <v>0</v>
      </c>
      <c r="D15">
        <v>42</v>
      </c>
      <c r="E15">
        <v>52</v>
      </c>
      <c r="F15">
        <v>50</v>
      </c>
      <c r="G15">
        <v>64</v>
      </c>
      <c r="H15">
        <v>42</v>
      </c>
      <c r="I15">
        <v>46</v>
      </c>
      <c r="J15">
        <v>70</v>
      </c>
    </row>
    <row r="16" spans="1:10" x14ac:dyDescent="0.35">
      <c r="A16" t="s">
        <v>3</v>
      </c>
      <c r="B16">
        <f>D14</f>
        <v>30</v>
      </c>
      <c r="C16">
        <f>D15</f>
        <v>42</v>
      </c>
      <c r="D16">
        <v>0</v>
      </c>
      <c r="E16">
        <v>31</v>
      </c>
      <c r="F16">
        <v>16</v>
      </c>
      <c r="G16">
        <v>79</v>
      </c>
      <c r="H16">
        <v>56</v>
      </c>
      <c r="I16">
        <v>47</v>
      </c>
      <c r="J16">
        <v>86</v>
      </c>
    </row>
    <row r="17" spans="1:10" x14ac:dyDescent="0.35">
      <c r="A17" t="s">
        <v>4</v>
      </c>
      <c r="B17">
        <f>E14</f>
        <v>82</v>
      </c>
      <c r="C17">
        <f>E15</f>
        <v>52</v>
      </c>
      <c r="D17">
        <f>E16</f>
        <v>31</v>
      </c>
      <c r="E17">
        <v>0</v>
      </c>
      <c r="F17">
        <v>76</v>
      </c>
      <c r="G17">
        <v>39</v>
      </c>
      <c r="H17">
        <v>20</v>
      </c>
      <c r="I17">
        <v>31</v>
      </c>
      <c r="J17">
        <v>18</v>
      </c>
    </row>
    <row r="18" spans="1:10" x14ac:dyDescent="0.35">
      <c r="A18" t="s">
        <v>5</v>
      </c>
      <c r="B18">
        <f>F14</f>
        <v>25</v>
      </c>
      <c r="C18">
        <f>F15</f>
        <v>50</v>
      </c>
      <c r="D18">
        <f>F16</f>
        <v>16</v>
      </c>
      <c r="E18">
        <f>F17</f>
        <v>76</v>
      </c>
      <c r="F18">
        <v>0</v>
      </c>
      <c r="G18">
        <v>56</v>
      </c>
      <c r="H18">
        <v>61</v>
      </c>
      <c r="I18">
        <v>49</v>
      </c>
      <c r="J18">
        <v>80</v>
      </c>
    </row>
    <row r="19" spans="1:10" x14ac:dyDescent="0.35">
      <c r="A19" t="s">
        <v>6</v>
      </c>
      <c r="B19">
        <f>G14</f>
        <v>73</v>
      </c>
      <c r="C19">
        <f>G15</f>
        <v>64</v>
      </c>
      <c r="D19">
        <f>G16</f>
        <v>79</v>
      </c>
      <c r="E19">
        <f>G17</f>
        <v>39</v>
      </c>
      <c r="F19">
        <f>G18</f>
        <v>56</v>
      </c>
      <c r="G19">
        <v>0</v>
      </c>
      <c r="H19">
        <v>40</v>
      </c>
      <c r="I19">
        <v>33</v>
      </c>
      <c r="J19">
        <v>34</v>
      </c>
    </row>
    <row r="20" spans="1:10" x14ac:dyDescent="0.35">
      <c r="A20" t="s">
        <v>7</v>
      </c>
      <c r="B20">
        <f>H14</f>
        <v>70</v>
      </c>
      <c r="C20">
        <f>H15</f>
        <v>42</v>
      </c>
      <c r="D20">
        <f>H16</f>
        <v>56</v>
      </c>
      <c r="E20">
        <f>H17</f>
        <v>20</v>
      </c>
      <c r="F20">
        <f>H18</f>
        <v>61</v>
      </c>
      <c r="G20">
        <f>H19</f>
        <v>40</v>
      </c>
      <c r="H20">
        <v>0</v>
      </c>
      <c r="I20">
        <v>20</v>
      </c>
      <c r="J20">
        <v>31</v>
      </c>
    </row>
    <row r="21" spans="1:10" x14ac:dyDescent="0.35">
      <c r="A21" t="s">
        <v>8</v>
      </c>
      <c r="B21">
        <f>I14</f>
        <v>52</v>
      </c>
      <c r="C21">
        <f>I15</f>
        <v>46</v>
      </c>
      <c r="D21">
        <f>I16</f>
        <v>47</v>
      </c>
      <c r="E21">
        <f>I17</f>
        <v>31</v>
      </c>
      <c r="F21">
        <f>I18</f>
        <v>49</v>
      </c>
      <c r="G21">
        <f>I19</f>
        <v>33</v>
      </c>
      <c r="H21">
        <f>I20</f>
        <v>20</v>
      </c>
      <c r="I21">
        <v>0</v>
      </c>
      <c r="J21">
        <v>42</v>
      </c>
    </row>
    <row r="22" spans="1:10" x14ac:dyDescent="0.35">
      <c r="A22" t="s">
        <v>9</v>
      </c>
      <c r="B22">
        <f>J14</f>
        <v>90</v>
      </c>
      <c r="C22">
        <f>J15</f>
        <v>70</v>
      </c>
      <c r="D22">
        <f>J16</f>
        <v>86</v>
      </c>
      <c r="E22">
        <f>J17</f>
        <v>18</v>
      </c>
      <c r="F22">
        <f>J18</f>
        <v>80</v>
      </c>
      <c r="G22">
        <f>J19</f>
        <v>34</v>
      </c>
      <c r="H22">
        <f>J20</f>
        <v>31</v>
      </c>
      <c r="I22">
        <f>J21</f>
        <v>42</v>
      </c>
      <c r="J22">
        <v>0</v>
      </c>
    </row>
  </sheetData>
  <pageMargins left="0.7" right="0.7" top="0.75" bottom="0.75" header="0.3" footer="0.3"/>
  <headerFooter>
    <oddHeader>&amp;C&amp;"Calibri"&amp;10&amp;K000000 Official (Closed) \ Non-Sensitive&amp;1#_x000D_</oddHeader>
  </headerFooter>
</worksheet>
</file>

<file path=docMetadata/LabelInfo.xml><?xml version="1.0" encoding="utf-8"?>
<clbl:labelList xmlns:clbl="http://schemas.microsoft.com/office/2020/mipLabelMetadata">
  <clbl:label id="{b70f6a2e-9a0b-44bc-9fcb-55781401e2f0}" enabled="1" method="Privileged" siteId="{f688b0d0-79f0-40a4-8644-35fcdee9d0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Distance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Howe Chiat (RP)</dc:creator>
  <cp:lastModifiedBy>Cheng Howe Chiat (RP)</cp:lastModifiedBy>
  <dcterms:created xsi:type="dcterms:W3CDTF">2025-10-06T07:35:40Z</dcterms:created>
  <dcterms:modified xsi:type="dcterms:W3CDTF">2025-11-21T05:39:39Z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f6a2e-9a0b-44bc-9fcb-55781401e2f0_Enabled">
    <vt:lpwstr>true</vt:lpwstr>
  </property>
  <property fmtid="{D5CDD505-2E9C-101B-9397-08002B2CF9AE}" pid="3" name="MSIP_Label_b70f6a2e-9a0b-44bc-9fcb-55781401e2f0_SetDate">
    <vt:lpwstr>2025-10-06T07:35:40Z</vt:lpwstr>
  </property>
  <property fmtid="{D5CDD505-2E9C-101B-9397-08002B2CF9AE}" pid="4" name="MSIP_Label_b70f6a2e-9a0b-44bc-9fcb-55781401e2f0_Method">
    <vt:lpwstr>Standard</vt:lpwstr>
  </property>
  <property fmtid="{D5CDD505-2E9C-101B-9397-08002B2CF9AE}" pid="5" name="MSIP_Label_b70f6a2e-9a0b-44bc-9fcb-55781401e2f0_Name">
    <vt:lpwstr>NON-SENSITIVE</vt:lpwstr>
  </property>
  <property fmtid="{D5CDD505-2E9C-101B-9397-08002B2CF9AE}" pid="6" name="MSIP_Label_b70f6a2e-9a0b-44bc-9fcb-55781401e2f0_SiteId">
    <vt:lpwstr>f688b0d0-79f0-40a4-8644-35fcdee9d0f3</vt:lpwstr>
  </property>
  <property fmtid="{D5CDD505-2E9C-101B-9397-08002B2CF9AE}" pid="7" name="MSIP_Label_b70f6a2e-9a0b-44bc-9fcb-55781401e2f0_ActionId">
    <vt:lpwstr>b6af0bb7-ddd0-4e47-ac91-04f1f4eb1c4e</vt:lpwstr>
  </property>
  <property fmtid="{D5CDD505-2E9C-101B-9397-08002B2CF9AE}" pid="8" name="MSIP_Label_b70f6a2e-9a0b-44bc-9fcb-55781401e2f0_ContentBits">
    <vt:lpwstr>0</vt:lpwstr>
  </property>
</Properties>
</file>