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yrp-my.sharepoint.com/personal/23050193_myrp_edu_sg/Documents/DSCM/Y3SEM2/E211 Operations Planning II/LLP04 Demand Forecasting (L21-L26)/"/>
    </mc:Choice>
  </mc:AlternateContent>
  <xr:revisionPtr revIDLastSave="721" documentId="14_{61EC5509-B405-48EF-A2D0-256A4D0A8ED1}" xr6:coauthVersionLast="47" xr6:coauthVersionMax="47" xr10:uidLastSave="{40A617A6-F401-470E-9AC4-D5B450CC3DF0}"/>
  <bookViews>
    <workbookView xWindow="-110" yWindow="-110" windowWidth="19420" windowHeight="10300" tabRatio="755" activeTab="6" xr2:uid="{00000000-000D-0000-FFFF-FFFF00000000}"/>
  </bookViews>
  <sheets>
    <sheet name="MA" sheetId="10" r:id="rId1"/>
    <sheet name="WMA" sheetId="22" r:id="rId2"/>
    <sheet name="SES" sheetId="11" r:id="rId3"/>
    <sheet name="Product B" sheetId="23" r:id="rId4"/>
    <sheet name="LR" sheetId="19" r:id="rId5"/>
    <sheet name="Holt's &amp; LR" sheetId="21" r:id="rId6"/>
    <sheet name="Holt's &amp; LR (HC)" sheetId="2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2" l="1"/>
  <c r="E5" i="21" l="1"/>
  <c r="E6" i="21"/>
  <c r="E7" i="21"/>
  <c r="E8" i="21"/>
  <c r="E9" i="21"/>
  <c r="E10" i="21"/>
  <c r="E11" i="21"/>
  <c r="E12" i="21"/>
  <c r="E13" i="21"/>
  <c r="E14" i="21"/>
  <c r="E15" i="21"/>
  <c r="E16" i="21"/>
  <c r="D6" i="21"/>
  <c r="D7" i="21"/>
  <c r="D8" i="21"/>
  <c r="D9" i="21"/>
  <c r="D10" i="21"/>
  <c r="D11" i="21"/>
  <c r="D12" i="21"/>
  <c r="D13" i="21"/>
  <c r="D14" i="21"/>
  <c r="D15" i="21"/>
  <c r="D16" i="21"/>
  <c r="D5" i="21"/>
  <c r="D4" i="21"/>
  <c r="L24" i="24"/>
  <c r="L23" i="24"/>
  <c r="L3" i="24"/>
  <c r="L2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23" i="24"/>
  <c r="F5" i="24"/>
  <c r="F6" i="24"/>
  <c r="F7" i="24"/>
  <c r="F8" i="24"/>
  <c r="F9" i="24"/>
  <c r="F10" i="24"/>
  <c r="F11" i="24"/>
  <c r="F12" i="24"/>
  <c r="F13" i="24"/>
  <c r="F14" i="24"/>
  <c r="F15" i="24"/>
  <c r="F16" i="24"/>
  <c r="F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4" i="24"/>
  <c r="I25" i="21"/>
  <c r="I26" i="21"/>
  <c r="I27" i="21"/>
  <c r="I28" i="21"/>
  <c r="I29" i="21"/>
  <c r="I30" i="21"/>
  <c r="I31" i="21"/>
  <c r="I32" i="21"/>
  <c r="I33" i="21"/>
  <c r="I34" i="21"/>
  <c r="I35" i="21"/>
  <c r="I24" i="21"/>
  <c r="F37" i="24"/>
  <c r="F36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23" i="24"/>
  <c r="D24" i="24"/>
  <c r="D25" i="24"/>
  <c r="E24" i="24"/>
  <c r="E23" i="24"/>
  <c r="D23" i="24"/>
  <c r="E22" i="24"/>
  <c r="D22" i="24"/>
  <c r="D26" i="24" l="1"/>
  <c r="E25" i="24"/>
  <c r="E26" i="24" l="1"/>
  <c r="D27" i="24"/>
  <c r="E27" i="24" l="1"/>
  <c r="D28" i="24" s="1"/>
  <c r="E28" i="24" l="1"/>
  <c r="E29" i="24" l="1"/>
  <c r="D29" i="24"/>
  <c r="E30" i="24" l="1"/>
  <c r="D30" i="24"/>
  <c r="D31" i="24" l="1"/>
  <c r="E31" i="24" l="1"/>
  <c r="D32" i="24" l="1"/>
  <c r="E32" i="24" l="1"/>
  <c r="D33" i="24" s="1"/>
  <c r="D34" i="24" l="1"/>
  <c r="E33" i="24"/>
  <c r="E34" i="24" l="1"/>
  <c r="D35" i="24" l="1"/>
  <c r="E35" i="24" s="1"/>
  <c r="G21" i="21" l="1"/>
  <c r="H21" i="21"/>
  <c r="F31" i="19"/>
  <c r="F32" i="19"/>
  <c r="D18" i="19"/>
  <c r="D19" i="19"/>
  <c r="D20" i="19"/>
  <c r="D21" i="19"/>
  <c r="D22" i="19"/>
  <c r="D23" i="19"/>
  <c r="D24" i="19"/>
  <c r="D25" i="19"/>
  <c r="D26" i="19"/>
  <c r="D27" i="19"/>
  <c r="D17" i="19"/>
  <c r="C18" i="19"/>
  <c r="C19" i="19"/>
  <c r="C20" i="19"/>
  <c r="C21" i="19"/>
  <c r="C22" i="19"/>
  <c r="C23" i="19"/>
  <c r="C24" i="19"/>
  <c r="C25" i="19"/>
  <c r="C26" i="19"/>
  <c r="C27" i="19"/>
  <c r="C28" i="19"/>
  <c r="D28" i="19" s="1"/>
  <c r="D29" i="19" s="1"/>
  <c r="C17" i="19"/>
  <c r="E37" i="10"/>
  <c r="D36" i="10"/>
  <c r="E2" i="23"/>
  <c r="D14" i="23"/>
  <c r="D6" i="23"/>
  <c r="D7" i="23"/>
  <c r="D8" i="23"/>
  <c r="D9" i="23"/>
  <c r="D10" i="23"/>
  <c r="D11" i="23"/>
  <c r="D12" i="23"/>
  <c r="D13" i="23"/>
  <c r="D5" i="23"/>
  <c r="C6" i="23"/>
  <c r="C7" i="23"/>
  <c r="C8" i="23"/>
  <c r="C9" i="23"/>
  <c r="C10" i="23"/>
  <c r="C11" i="23"/>
  <c r="C12" i="23"/>
  <c r="C13" i="23"/>
  <c r="C14" i="23"/>
  <c r="C5" i="23"/>
  <c r="C20" i="11"/>
  <c r="C21" i="11" s="1"/>
  <c r="C2" i="11"/>
  <c r="D2" i="11" s="1"/>
  <c r="E17" i="22"/>
  <c r="D7" i="22"/>
  <c r="D8" i="22"/>
  <c r="D11" i="22"/>
  <c r="D12" i="22"/>
  <c r="D13" i="22"/>
  <c r="C6" i="22"/>
  <c r="E6" i="22" s="1"/>
  <c r="C7" i="22"/>
  <c r="E7" i="22" s="1"/>
  <c r="C8" i="22"/>
  <c r="E8" i="22" s="1"/>
  <c r="C9" i="22"/>
  <c r="D9" i="22" s="1"/>
  <c r="C10" i="22"/>
  <c r="D10" i="22" s="1"/>
  <c r="C11" i="22"/>
  <c r="E11" i="22" s="1"/>
  <c r="C12" i="22"/>
  <c r="E12" i="22" s="1"/>
  <c r="C13" i="22"/>
  <c r="E13" i="22" s="1"/>
  <c r="C14" i="22"/>
  <c r="C5" i="22"/>
  <c r="D5" i="22" s="1"/>
  <c r="E27" i="10"/>
  <c r="E28" i="10"/>
  <c r="E29" i="10"/>
  <c r="E30" i="10"/>
  <c r="E31" i="10"/>
  <c r="E32" i="10"/>
  <c r="E33" i="10"/>
  <c r="E26" i="10"/>
  <c r="D27" i="10"/>
  <c r="D28" i="10"/>
  <c r="D29" i="10"/>
  <c r="D30" i="10"/>
  <c r="D31" i="10"/>
  <c r="D32" i="10"/>
  <c r="D33" i="10"/>
  <c r="D26" i="10"/>
  <c r="C27" i="10"/>
  <c r="C28" i="10"/>
  <c r="C29" i="10"/>
  <c r="C30" i="10"/>
  <c r="C31" i="10"/>
  <c r="C32" i="10"/>
  <c r="C33" i="10"/>
  <c r="C34" i="10"/>
  <c r="C26" i="10"/>
  <c r="H18" i="10"/>
  <c r="G17" i="10"/>
  <c r="E18" i="10"/>
  <c r="D17" i="10"/>
  <c r="H10" i="10"/>
  <c r="H11" i="10"/>
  <c r="H12" i="10"/>
  <c r="H13" i="10"/>
  <c r="H14" i="10"/>
  <c r="H9" i="10"/>
  <c r="G10" i="10"/>
  <c r="G11" i="10"/>
  <c r="G12" i="10"/>
  <c r="G13" i="10"/>
  <c r="G14" i="10"/>
  <c r="G9" i="10"/>
  <c r="F10" i="10"/>
  <c r="F11" i="10"/>
  <c r="F12" i="10"/>
  <c r="F13" i="10"/>
  <c r="F14" i="10"/>
  <c r="F15" i="10"/>
  <c r="F9" i="10"/>
  <c r="E12" i="10"/>
  <c r="D7" i="10"/>
  <c r="D8" i="10"/>
  <c r="D12" i="10"/>
  <c r="D13" i="10"/>
  <c r="D6" i="10"/>
  <c r="C15" i="10"/>
  <c r="C7" i="10"/>
  <c r="E7" i="10" s="1"/>
  <c r="C8" i="10"/>
  <c r="E8" i="10" s="1"/>
  <c r="C9" i="10"/>
  <c r="E9" i="10" s="1"/>
  <c r="C10" i="10"/>
  <c r="D10" i="10" s="1"/>
  <c r="C11" i="10"/>
  <c r="D11" i="10" s="1"/>
  <c r="C12" i="10"/>
  <c r="C13" i="10"/>
  <c r="E13" i="10" s="1"/>
  <c r="C14" i="10"/>
  <c r="D14" i="10" s="1"/>
  <c r="C6" i="10"/>
  <c r="E6" i="10" s="1"/>
  <c r="E4" i="21" l="1"/>
  <c r="G23" i="21"/>
  <c r="I23" i="21"/>
  <c r="E2" i="11"/>
  <c r="E21" i="11"/>
  <c r="D21" i="11"/>
  <c r="C22" i="11"/>
  <c r="E20" i="11"/>
  <c r="C3" i="11"/>
  <c r="D20" i="11"/>
  <c r="E3" i="23"/>
  <c r="E4" i="23" s="1"/>
  <c r="E5" i="23" s="1"/>
  <c r="E6" i="23" s="1"/>
  <c r="E7" i="23" s="1"/>
  <c r="E8" i="23" s="1"/>
  <c r="E9" i="23" s="1"/>
  <c r="E10" i="23" s="1"/>
  <c r="E11" i="23" s="1"/>
  <c r="E12" i="23" s="1"/>
  <c r="E13" i="23" s="1"/>
  <c r="E14" i="23" s="1"/>
  <c r="D6" i="22"/>
  <c r="E5" i="22"/>
  <c r="E10" i="22"/>
  <c r="E9" i="22"/>
  <c r="D9" i="10"/>
  <c r="E14" i="10"/>
  <c r="E11" i="10"/>
  <c r="E10" i="10"/>
  <c r="H23" i="21" l="1"/>
  <c r="G24" i="21" s="1"/>
  <c r="C4" i="11"/>
  <c r="E3" i="11"/>
  <c r="D3" i="11"/>
  <c r="C23" i="11"/>
  <c r="E22" i="11"/>
  <c r="D22" i="11"/>
  <c r="H24" i="21" l="1"/>
  <c r="G25" i="21"/>
  <c r="D4" i="11"/>
  <c r="E4" i="11"/>
  <c r="C5" i="11"/>
  <c r="C24" i="11"/>
  <c r="E23" i="11"/>
  <c r="D23" i="11"/>
  <c r="H25" i="21" l="1"/>
  <c r="G26" i="21"/>
  <c r="C6" i="11"/>
  <c r="E5" i="11"/>
  <c r="D5" i="11"/>
  <c r="C25" i="11"/>
  <c r="D24" i="11"/>
  <c r="E24" i="11"/>
  <c r="H26" i="21" l="1"/>
  <c r="G27" i="21"/>
  <c r="C26" i="11"/>
  <c r="D25" i="11"/>
  <c r="E25" i="11"/>
  <c r="E6" i="11"/>
  <c r="D6" i="11"/>
  <c r="C7" i="11"/>
  <c r="H27" i="21" l="1"/>
  <c r="G28" i="21"/>
  <c r="C8" i="11"/>
  <c r="E7" i="11"/>
  <c r="D7" i="11"/>
  <c r="C27" i="11"/>
  <c r="D26" i="11"/>
  <c r="E26" i="11"/>
  <c r="H28" i="21" l="1"/>
  <c r="G29" i="21"/>
  <c r="C28" i="11"/>
  <c r="E27" i="11"/>
  <c r="D27" i="11"/>
  <c r="C9" i="11"/>
  <c r="E8" i="11"/>
  <c r="D8" i="11"/>
  <c r="H29" i="21" l="1"/>
  <c r="G30" i="21"/>
  <c r="C29" i="11"/>
  <c r="E28" i="11"/>
  <c r="D28" i="11"/>
  <c r="C10" i="11"/>
  <c r="E9" i="11"/>
  <c r="D9" i="11"/>
  <c r="H30" i="21" l="1"/>
  <c r="G31" i="21"/>
  <c r="C30" i="11"/>
  <c r="E29" i="11"/>
  <c r="D29" i="11"/>
  <c r="C11" i="11"/>
  <c r="E10" i="11"/>
  <c r="D10" i="11"/>
  <c r="H31" i="21" l="1"/>
  <c r="G32" i="21"/>
  <c r="C12" i="11"/>
  <c r="E11" i="11"/>
  <c r="D11" i="11"/>
  <c r="C31" i="11"/>
  <c r="E30" i="11"/>
  <c r="D30" i="11"/>
  <c r="H32" i="21" l="1"/>
  <c r="G33" i="21"/>
  <c r="E31" i="11"/>
  <c r="E35" i="11" s="1"/>
  <c r="D31" i="11"/>
  <c r="D34" i="11" s="1"/>
  <c r="C32" i="11"/>
  <c r="C13" i="11"/>
  <c r="E12" i="11"/>
  <c r="D12" i="11"/>
  <c r="H33" i="21" l="1"/>
  <c r="G34" i="21"/>
  <c r="C14" i="11"/>
  <c r="E13" i="11"/>
  <c r="E17" i="11" s="1"/>
  <c r="D13" i="11"/>
  <c r="D16" i="11" s="1"/>
  <c r="H34" i="21" l="1"/>
  <c r="G35" i="21"/>
  <c r="H35" i="21" s="1"/>
</calcChain>
</file>

<file path=xl/sharedStrings.xml><?xml version="1.0" encoding="utf-8"?>
<sst xmlns="http://schemas.openxmlformats.org/spreadsheetml/2006/main" count="159" uniqueCount="84">
  <si>
    <t>Month</t>
  </si>
  <si>
    <t>Period</t>
  </si>
  <si>
    <t>Sales Figure (No. of Units)</t>
  </si>
  <si>
    <t>Sales Price (SGD)</t>
  </si>
  <si>
    <t>Mileage (km)</t>
  </si>
  <si>
    <t>Year</t>
  </si>
  <si>
    <t>Percentage of Senior Citizen</t>
  </si>
  <si>
    <t>???</t>
  </si>
  <si>
    <t>Linear Regression</t>
  </si>
  <si>
    <t>Holt's Method</t>
  </si>
  <si>
    <t>Forecast
(N = 3)</t>
  </si>
  <si>
    <t>Absolute percent error 
[(Actual - Forecast)/Actual]</t>
  </si>
  <si>
    <t>Absolute deviation 
(Actual - Forecast)</t>
  </si>
  <si>
    <t>Forecast
(N = 6)</t>
  </si>
  <si>
    <t>MAD</t>
  </si>
  <si>
    <t>MAPE</t>
  </si>
  <si>
    <t>Actual Sales Figure (No. of Units)</t>
  </si>
  <si>
    <t>Forecast
(N = 4)</t>
  </si>
  <si>
    <r>
      <rPr>
        <b/>
        <sz val="10"/>
        <rFont val="Arial"/>
        <family val="2"/>
      </rPr>
      <t>Actual</t>
    </r>
    <r>
      <rPr>
        <sz val="10"/>
        <rFont val="Arial"/>
        <family val="2"/>
      </rPr>
      <t xml:space="preserve"> Sales Figure (No. of Units)</t>
    </r>
  </si>
  <si>
    <t>Forecast
(N = 3, Weight: 5,3,1)</t>
  </si>
  <si>
    <t>Forecast
(alpha = 0.2)</t>
  </si>
  <si>
    <t>Forecast
(alpha = 0.7)</t>
  </si>
  <si>
    <t>(MA, N = 3)</t>
  </si>
  <si>
    <t>WMA (5,3,1)</t>
  </si>
  <si>
    <t>SES (0.2)</t>
  </si>
  <si>
    <t>Forecasted Sales Prices</t>
  </si>
  <si>
    <t>AD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</si>
  <si>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</si>
  <si>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</si>
  <si>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</si>
  <si>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</si>
  <si>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</si>
  <si>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</si>
  <si>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</si>
  <si>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</si>
  <si>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</si>
  <si>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</si>
  <si>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</si>
  <si>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</si>
  <si>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</si>
  <si>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</si>
  <si>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</si>
  <si>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</si>
  <si>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</si>
  <si>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</si>
  <si>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</si>
  <si>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</si>
  <si>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</si>
  <si>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</si>
  <si>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</si>
  <si>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</si>
  <si>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</si>
  <si>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</si>
  <si>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</si>
  <si>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</si>
  <si>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</si>
  <si>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</si>
  <si>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</si>
  <si>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</si>
  <si>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</si>
  <si>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</si>
  <si>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</si>
  <si>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</si>
  <si>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</si>
  <si>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</si>
  <si>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</si>
  <si>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</si>
  <si>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</si>
  <si>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L0</t>
  </si>
  <si>
    <t>T0</t>
  </si>
  <si>
    <t>Forecast for Holts</t>
  </si>
  <si>
    <t>Alpha</t>
  </si>
  <si>
    <t>Beta</t>
  </si>
  <si>
    <t>Forecast for Linear Regression</t>
  </si>
  <si>
    <t>Holt's Ht (c)</t>
  </si>
  <si>
    <t>Forecast for Holts (Ht)</t>
  </si>
  <si>
    <t>Linear Regression Forecast</t>
  </si>
  <si>
    <t>APE</t>
  </si>
  <si>
    <t>x (independent variable)</t>
  </si>
  <si>
    <t>y (dependent variable)</t>
  </si>
  <si>
    <t>(β0, Intercept)</t>
  </si>
  <si>
    <t>(β1, Slope)</t>
  </si>
  <si>
    <r>
      <t>L</t>
    </r>
    <r>
      <rPr>
        <sz val="11"/>
        <color theme="1"/>
        <rFont val="Aptos"/>
        <family val="2"/>
      </rPr>
      <t>t</t>
    </r>
    <r>
      <rPr>
        <sz val="11"/>
        <color theme="1"/>
        <rFont val="Arial"/>
        <family val="2"/>
      </rPr>
      <t xml:space="preserve"> (a)
[Intercept]</t>
    </r>
  </si>
  <si>
    <t>Tt (b)
[Slope]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</si>
</sst>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_);[Red]\(&quot;$&quot;#,##0\)"/>
    <numFmt numFmtId="165" formatCode="0.0"/>
    <numFmt numFmtId="166" formatCode="0.000"/>
    <numFmt numFmtId="167" formatCode="0.0000"/>
  </numFmts>
  <fonts count="15" x14ac:knownFonts="1">
    <font>
      <sz val="10"/>
      <name val="Arial"/>
    </font>
    <font>
      <sz val="11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rgb="FFFF0000"/>
      <name val="Arial"/>
      <family val="2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6F7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ED5DD"/>
      </left>
      <right style="medium">
        <color rgb="FFCED5DD"/>
      </right>
      <top style="medium">
        <color rgb="FFCED5DD"/>
      </top>
      <bottom style="thick">
        <color rgb="FFCED5DD"/>
      </bottom>
      <diagonal/>
    </border>
    <border>
      <left style="medium">
        <color rgb="FFCED5DD"/>
      </left>
      <right style="medium">
        <color rgb="FFCED5DD"/>
      </right>
      <top style="thick">
        <color rgb="FFCED5DD"/>
      </top>
      <bottom style="medium">
        <color rgb="FFCED5DD"/>
      </bottom>
      <diagonal/>
    </border>
    <border>
      <left style="medium">
        <color rgb="FFCED5DD"/>
      </left>
      <right style="medium">
        <color rgb="FFCED5DD"/>
      </right>
      <top style="medium">
        <color rgb="FFCED5DD"/>
      </top>
      <bottom style="medium">
        <color rgb="FFCED5D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ED5DD"/>
      </left>
      <right/>
      <top style="medium">
        <color rgb="FFCED5DD"/>
      </top>
      <bottom style="thick">
        <color rgb="FFCED5DD"/>
      </bottom>
      <diagonal/>
    </border>
    <border>
      <left style="medium">
        <color rgb="FFCED5DD"/>
      </left>
      <right/>
      <top style="thick">
        <color rgb="FFCED5DD"/>
      </top>
      <bottom style="medium">
        <color rgb="FFCED5DD"/>
      </bottom>
      <diagonal/>
    </border>
    <border>
      <left style="medium">
        <color rgb="FFCED5DD"/>
      </left>
      <right/>
      <top style="medium">
        <color rgb="FFCED5DD"/>
      </top>
      <bottom style="medium">
        <color rgb="FFCED5DD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9" fontId="1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/>
    <xf numFmtId="0" fontId="6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6" fillId="0" borderId="0" xfId="0" applyNumberFormat="1" applyFont="1"/>
    <xf numFmtId="166" fontId="3" fillId="0" borderId="0" xfId="0" applyNumberFormat="1" applyFont="1"/>
    <xf numFmtId="166" fontId="3" fillId="0" borderId="0" xfId="0" applyNumberFormat="1" applyFont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vertical="center"/>
    </xf>
    <xf numFmtId="17" fontId="2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wrapText="1" readingOrder="1"/>
    </xf>
    <xf numFmtId="164" fontId="9" fillId="2" borderId="3" xfId="0" applyNumberFormat="1" applyFont="1" applyFill="1" applyBorder="1" applyAlignment="1">
      <alignment horizontal="center" wrapText="1" readingOrder="1"/>
    </xf>
    <xf numFmtId="0" fontId="9" fillId="2" borderId="3" xfId="0" applyFont="1" applyFill="1" applyBorder="1" applyAlignment="1">
      <alignment horizontal="center" wrapText="1" readingOrder="1"/>
    </xf>
    <xf numFmtId="164" fontId="9" fillId="0" borderId="4" xfId="0" applyNumberFormat="1" applyFont="1" applyBorder="1" applyAlignment="1">
      <alignment horizontal="center" wrapText="1" readingOrder="1"/>
    </xf>
    <xf numFmtId="0" fontId="9" fillId="0" borderId="4" xfId="0" applyFont="1" applyBorder="1" applyAlignment="1">
      <alignment horizontal="center" wrapText="1" readingOrder="1"/>
    </xf>
    <xf numFmtId="164" fontId="9" fillId="2" borderId="4" xfId="0" applyNumberFormat="1" applyFont="1" applyFill="1" applyBorder="1" applyAlignment="1">
      <alignment horizontal="center" wrapText="1" readingOrder="1"/>
    </xf>
    <xf numFmtId="0" fontId="9" fillId="2" borderId="4" xfId="0" applyFont="1" applyFill="1" applyBorder="1" applyAlignment="1">
      <alignment horizontal="center" wrapText="1" readingOrder="1"/>
    </xf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10" fillId="0" borderId="0" xfId="0" applyFont="1"/>
    <xf numFmtId="17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2" fontId="6" fillId="0" borderId="1" xfId="0" applyNumberFormat="1" applyFon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7" fontId="0" fillId="0" borderId="0" xfId="0" applyNumberFormat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7" xfId="2" applyNumberFormat="1" applyFont="1" applyBorder="1" applyAlignment="1">
      <alignment horizontal="center"/>
    </xf>
    <xf numFmtId="17" fontId="0" fillId="0" borderId="0" xfId="0" applyNumberFormat="1" applyAlignment="1">
      <alignment horizontal="center"/>
    </xf>
    <xf numFmtId="164" fontId="9" fillId="0" borderId="0" xfId="0" applyNumberFormat="1" applyFont="1" applyAlignment="1">
      <alignment horizontal="center" wrapText="1" readingOrder="1"/>
    </xf>
    <xf numFmtId="0" fontId="9" fillId="0" borderId="0" xfId="0" applyFont="1" applyAlignment="1">
      <alignment horizontal="center" wrapText="1" readingOrder="1"/>
    </xf>
    <xf numFmtId="0" fontId="8" fillId="0" borderId="8" xfId="0" applyFont="1" applyBorder="1" applyAlignment="1">
      <alignment horizontal="center" wrapText="1" readingOrder="1"/>
    </xf>
    <xf numFmtId="164" fontId="9" fillId="2" borderId="9" xfId="0" applyNumberFormat="1" applyFont="1" applyFill="1" applyBorder="1" applyAlignment="1">
      <alignment horizontal="center" wrapText="1" readingOrder="1"/>
    </xf>
    <xf numFmtId="164" fontId="9" fillId="0" borderId="10" xfId="0" applyNumberFormat="1" applyFont="1" applyBorder="1" applyAlignment="1">
      <alignment horizontal="center" wrapText="1" readingOrder="1"/>
    </xf>
    <xf numFmtId="164" fontId="9" fillId="2" borderId="10" xfId="0" applyNumberFormat="1" applyFont="1" applyFill="1" applyBorder="1" applyAlignment="1">
      <alignment horizontal="center" wrapText="1" readingOrder="1"/>
    </xf>
    <xf numFmtId="0" fontId="4" fillId="0" borderId="5" xfId="0" applyFont="1" applyBorder="1"/>
    <xf numFmtId="2" fontId="0" fillId="0" borderId="5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/>
    <xf numFmtId="167" fontId="1" fillId="0" borderId="1" xfId="0" applyNumberFormat="1" applyFont="1" applyBorder="1"/>
    <xf numFmtId="167" fontId="1" fillId="3" borderId="1" xfId="0" applyNumberFormat="1" applyFont="1" applyFill="1" applyBorder="1"/>
    <xf numFmtId="167" fontId="1" fillId="0" borderId="1" xfId="0" applyNumberFormat="1" applyFont="1" applyBorder="1" applyAlignment="1">
      <alignment horizontal="center"/>
    </xf>
    <xf numFmtId="167" fontId="1" fillId="4" borderId="1" xfId="0" applyNumberFormat="1" applyFont="1" applyFill="1" applyBorder="1"/>
    <xf numFmtId="0" fontId="13" fillId="0" borderId="0" xfId="0" applyFont="1"/>
    <xf numFmtId="2" fontId="1" fillId="0" borderId="0" xfId="0" applyNumberFormat="1" applyFont="1"/>
    <xf numFmtId="2" fontId="1" fillId="0" borderId="1" xfId="0" applyNumberFormat="1" applyFont="1" applyBorder="1"/>
    <xf numFmtId="10" fontId="1" fillId="0" borderId="1" xfId="2" applyNumberFormat="1" applyFont="1" applyBorder="1"/>
    <xf numFmtId="10" fontId="1" fillId="0" borderId="0" xfId="0" applyNumberFormat="1" applyFont="1"/>
    <xf numFmtId="2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7" fontId="0" fillId="0" borderId="1" xfId="0" applyNumberFormat="1" applyBorder="1"/>
    <xf numFmtId="0" fontId="2" fillId="0" borderId="1" xfId="0" applyFont="1" applyBorder="1"/>
    <xf numFmtId="1" fontId="0" fillId="0" borderId="1" xfId="0" applyNumberFormat="1" applyBorder="1"/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67" fontId="1" fillId="4" borderId="6" xfId="0" applyNumberFormat="1" applyFont="1" applyFill="1" applyBorder="1" applyAlignment="1">
      <alignment horizontal="center"/>
    </xf>
    <xf numFmtId="167" fontId="1" fillId="4" borderId="7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167" fontId="1" fillId="3" borderId="6" xfId="0" applyNumberFormat="1" applyFont="1" applyFill="1" applyBorder="1" applyAlignment="1">
      <alignment horizontal="center"/>
    </xf>
    <xf numFmtId="167" fontId="1" fillId="3" borderId="7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2AFC7A33-7B7A-4C7B-810B-F4735C8D753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MA!$B$2</c:f>
              <c:strCache>
                <c:ptCount val="1"/>
                <c:pt idx="0">
                  <c:v>Actual Sales Figure (No. of Units)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MA!$B$3:$B$15</c:f>
              <c:numCache>
                <c:formatCode>General</c:formatCode>
                <c:ptCount val="13"/>
                <c:pt idx="0">
                  <c:v>501</c:v>
                </c:pt>
                <c:pt idx="1">
                  <c:v>429</c:v>
                </c:pt>
                <c:pt idx="2">
                  <c:v>352</c:v>
                </c:pt>
                <c:pt idx="3">
                  <c:v>472</c:v>
                </c:pt>
                <c:pt idx="4">
                  <c:v>342</c:v>
                </c:pt>
                <c:pt idx="5">
                  <c:v>367</c:v>
                </c:pt>
                <c:pt idx="6">
                  <c:v>370</c:v>
                </c:pt>
                <c:pt idx="7">
                  <c:v>437</c:v>
                </c:pt>
                <c:pt idx="8">
                  <c:v>412</c:v>
                </c:pt>
                <c:pt idx="9">
                  <c:v>336</c:v>
                </c:pt>
                <c:pt idx="10">
                  <c:v>388</c:v>
                </c:pt>
                <c:pt idx="11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7-4863-A916-98725DBBD375}"/>
            </c:ext>
          </c:extLst>
        </c:ser>
        <c:ser>
          <c:idx val="1"/>
          <c:order val="1"/>
          <c:tx>
            <c:strRef>
              <c:f>MA!$C$2</c:f>
              <c:strCache>
                <c:ptCount val="1"/>
                <c:pt idx="0">
                  <c:v>Forecast
(N = 3)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MA!$C$3:$C$15</c:f>
              <c:numCache>
                <c:formatCode>General</c:formatCode>
                <c:ptCount val="13"/>
                <c:pt idx="3" formatCode="0.00">
                  <c:v>427.33333333333331</c:v>
                </c:pt>
                <c:pt idx="4" formatCode="0.00">
                  <c:v>417.66666666666669</c:v>
                </c:pt>
                <c:pt idx="5" formatCode="0.00">
                  <c:v>388.66666666666669</c:v>
                </c:pt>
                <c:pt idx="6" formatCode="0.00">
                  <c:v>393.66666666666669</c:v>
                </c:pt>
                <c:pt idx="7" formatCode="0.00">
                  <c:v>359.66666666666669</c:v>
                </c:pt>
                <c:pt idx="8" formatCode="0.00">
                  <c:v>391.33333333333331</c:v>
                </c:pt>
                <c:pt idx="9" formatCode="0.00">
                  <c:v>406.33333333333331</c:v>
                </c:pt>
                <c:pt idx="10" formatCode="0.00">
                  <c:v>395</c:v>
                </c:pt>
                <c:pt idx="11" formatCode="0.00">
                  <c:v>378.66666666666669</c:v>
                </c:pt>
                <c:pt idx="12" formatCode="0.00">
                  <c:v>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F7-4863-A916-98725DBBD375}"/>
            </c:ext>
          </c:extLst>
        </c:ser>
        <c:ser>
          <c:idx val="2"/>
          <c:order val="2"/>
          <c:tx>
            <c:strRef>
              <c:f>MA!$F$2</c:f>
              <c:strCache>
                <c:ptCount val="1"/>
                <c:pt idx="0">
                  <c:v>Forecast
(N = 6)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MA!$F$3:$F$15</c:f>
              <c:numCache>
                <c:formatCode>General</c:formatCode>
                <c:ptCount val="13"/>
                <c:pt idx="6" formatCode="0.00">
                  <c:v>410.5</c:v>
                </c:pt>
                <c:pt idx="7" formatCode="0.00">
                  <c:v>388.66666666666669</c:v>
                </c:pt>
                <c:pt idx="8" formatCode="0.00">
                  <c:v>390</c:v>
                </c:pt>
                <c:pt idx="9" formatCode="0.00">
                  <c:v>400</c:v>
                </c:pt>
                <c:pt idx="10" formatCode="0.00">
                  <c:v>377.33333333333331</c:v>
                </c:pt>
                <c:pt idx="11" formatCode="0.00">
                  <c:v>385</c:v>
                </c:pt>
                <c:pt idx="12" formatCode="0.00">
                  <c:v>381.16666666666669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F7-4863-A916-98725DBBD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4010832"/>
        <c:axId val="704008432"/>
      </c:lineChart>
      <c:catAx>
        <c:axId val="70401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008432"/>
        <c:crosses val="autoZero"/>
        <c:auto val="1"/>
        <c:lblAlgn val="ctr"/>
        <c:lblOffset val="100"/>
        <c:noMultiLvlLbl val="0"/>
      </c:catAx>
      <c:valAx>
        <c:axId val="70400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01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WMA!$B$1</c:f>
              <c:strCache>
                <c:ptCount val="1"/>
                <c:pt idx="0">
                  <c:v>Sales Figure (No. of Units)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WMA!$B$2:$B$14</c:f>
              <c:numCache>
                <c:formatCode>General</c:formatCode>
                <c:ptCount val="13"/>
                <c:pt idx="0">
                  <c:v>501</c:v>
                </c:pt>
                <c:pt idx="1">
                  <c:v>429</c:v>
                </c:pt>
                <c:pt idx="2">
                  <c:v>352</c:v>
                </c:pt>
                <c:pt idx="3">
                  <c:v>472</c:v>
                </c:pt>
                <c:pt idx="4">
                  <c:v>342</c:v>
                </c:pt>
                <c:pt idx="5">
                  <c:v>367</c:v>
                </c:pt>
                <c:pt idx="6">
                  <c:v>370</c:v>
                </c:pt>
                <c:pt idx="7">
                  <c:v>437</c:v>
                </c:pt>
                <c:pt idx="8">
                  <c:v>412</c:v>
                </c:pt>
                <c:pt idx="9">
                  <c:v>336</c:v>
                </c:pt>
                <c:pt idx="10">
                  <c:v>388</c:v>
                </c:pt>
                <c:pt idx="11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1-4238-9CE0-7534AF4C760B}"/>
            </c:ext>
          </c:extLst>
        </c:ser>
        <c:ser>
          <c:idx val="1"/>
          <c:order val="1"/>
          <c:tx>
            <c:strRef>
              <c:f>WMA!$C$1</c:f>
              <c:strCache>
                <c:ptCount val="1"/>
                <c:pt idx="0">
                  <c:v>Forecast
(N = 3, Weight: 5,3,1)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WMA!$C$2:$C$14</c:f>
              <c:numCache>
                <c:formatCode>General</c:formatCode>
                <c:ptCount val="13"/>
                <c:pt idx="3" formatCode="0.00">
                  <c:v>394.22222222222223</c:v>
                </c:pt>
                <c:pt idx="4" formatCode="0.00">
                  <c:v>427.22222222222223</c:v>
                </c:pt>
                <c:pt idx="5" formatCode="0.00">
                  <c:v>386.44444444444446</c:v>
                </c:pt>
                <c:pt idx="6" formatCode="0.00">
                  <c:v>370.33333333333331</c:v>
                </c:pt>
                <c:pt idx="7" formatCode="0.00">
                  <c:v>365.88888888888891</c:v>
                </c:pt>
                <c:pt idx="8" formatCode="0.00">
                  <c:v>406.88888888888891</c:v>
                </c:pt>
                <c:pt idx="9" formatCode="0.00">
                  <c:v>415.66666666666669</c:v>
                </c:pt>
                <c:pt idx="10" formatCode="0.00">
                  <c:v>372.55555555555554</c:v>
                </c:pt>
                <c:pt idx="11" formatCode="0.00">
                  <c:v>373.33333333333331</c:v>
                </c:pt>
                <c:pt idx="12" formatCode="0.00">
                  <c:v>357.77777777777777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1-4238-9CE0-7534AF4C7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6383423"/>
        <c:axId val="1346387743"/>
      </c:lineChart>
      <c:catAx>
        <c:axId val="1346383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87743"/>
        <c:crosses val="autoZero"/>
        <c:auto val="1"/>
        <c:lblAlgn val="ctr"/>
        <c:lblOffset val="100"/>
        <c:noMultiLvlLbl val="0"/>
      </c:catAx>
      <c:valAx>
        <c:axId val="134638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38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SES!$B$1</c:f>
              <c:strCache>
                <c:ptCount val="1"/>
                <c:pt idx="0">
                  <c:v>Sales Figure (No. of Units)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SES!$B$2:$B$13</c:f>
              <c:numCache>
                <c:formatCode>General</c:formatCode>
                <c:ptCount val="12"/>
                <c:pt idx="0">
                  <c:v>501</c:v>
                </c:pt>
                <c:pt idx="1">
                  <c:v>429</c:v>
                </c:pt>
                <c:pt idx="2">
                  <c:v>352</c:v>
                </c:pt>
                <c:pt idx="3">
                  <c:v>472</c:v>
                </c:pt>
                <c:pt idx="4">
                  <c:v>342</c:v>
                </c:pt>
                <c:pt idx="5">
                  <c:v>367</c:v>
                </c:pt>
                <c:pt idx="6">
                  <c:v>370</c:v>
                </c:pt>
                <c:pt idx="7">
                  <c:v>437</c:v>
                </c:pt>
                <c:pt idx="8">
                  <c:v>412</c:v>
                </c:pt>
                <c:pt idx="9">
                  <c:v>336</c:v>
                </c:pt>
                <c:pt idx="10">
                  <c:v>388</c:v>
                </c:pt>
                <c:pt idx="11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F-4F51-AF15-B6B2864B13A3}"/>
            </c:ext>
          </c:extLst>
        </c:ser>
        <c:ser>
          <c:idx val="1"/>
          <c:order val="1"/>
          <c:tx>
            <c:strRef>
              <c:f>SES!$C$1</c:f>
              <c:strCache>
                <c:ptCount val="1"/>
                <c:pt idx="0">
                  <c:v>Forecast
(alpha = 0.2)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SES!$C$2:$C$14</c:f>
              <c:numCache>
                <c:formatCode>General</c:formatCode>
                <c:ptCount val="13"/>
                <c:pt idx="0" formatCode="0.00">
                  <c:v>419.2</c:v>
                </c:pt>
                <c:pt idx="1">
                  <c:v>435.56</c:v>
                </c:pt>
                <c:pt idx="2" formatCode="0.00">
                  <c:v>434.24800000000005</c:v>
                </c:pt>
                <c:pt idx="3" formatCode="0.00">
                  <c:v>417.79840000000002</c:v>
                </c:pt>
                <c:pt idx="4" formatCode="0.00">
                  <c:v>428.63872000000003</c:v>
                </c:pt>
                <c:pt idx="5" formatCode="0.00">
                  <c:v>411.3109760000001</c:v>
                </c:pt>
                <c:pt idx="6" formatCode="0.00">
                  <c:v>402.44878080000012</c:v>
                </c:pt>
                <c:pt idx="7" formatCode="0.00">
                  <c:v>395.95902464000011</c:v>
                </c:pt>
                <c:pt idx="8" formatCode="0.00">
                  <c:v>404.16721971200013</c:v>
                </c:pt>
                <c:pt idx="9" formatCode="0.00">
                  <c:v>405.73377576960013</c:v>
                </c:pt>
                <c:pt idx="10" formatCode="0.00">
                  <c:v>391.78702061568009</c:v>
                </c:pt>
                <c:pt idx="11" formatCode="0.00">
                  <c:v>391.02961649254411</c:v>
                </c:pt>
                <c:pt idx="12" formatCode="0.00">
                  <c:v>381.6236931940353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5F-4F51-AF15-B6B2864B13A3}"/>
            </c:ext>
          </c:extLst>
        </c:ser>
        <c:ser>
          <c:idx val="2"/>
          <c:order val="2"/>
          <c:tx>
            <c:strRef>
              <c:f>SES!$C$19</c:f>
              <c:strCache>
                <c:ptCount val="1"/>
                <c:pt idx="0">
                  <c:v>Forecast
(alpha = 0.7)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SES!$C$20:$C$32</c:f>
              <c:numCache>
                <c:formatCode>General</c:formatCode>
                <c:ptCount val="13"/>
                <c:pt idx="0" formatCode="0.00">
                  <c:v>419.2</c:v>
                </c:pt>
                <c:pt idx="1">
                  <c:v>476.46000000000004</c:v>
                </c:pt>
                <c:pt idx="2" formatCode="0.00">
                  <c:v>443.238</c:v>
                </c:pt>
                <c:pt idx="3" formatCode="0.00">
                  <c:v>379.37139999999999</c:v>
                </c:pt>
                <c:pt idx="4" formatCode="0.00">
                  <c:v>444.21141999999998</c:v>
                </c:pt>
                <c:pt idx="5" formatCode="0.00">
                  <c:v>372.66342599999996</c:v>
                </c:pt>
                <c:pt idx="6" formatCode="0.00">
                  <c:v>368.69902779999995</c:v>
                </c:pt>
                <c:pt idx="7" formatCode="0.00">
                  <c:v>369.60970834</c:v>
                </c:pt>
                <c:pt idx="8" formatCode="0.00">
                  <c:v>416.78291250199999</c:v>
                </c:pt>
                <c:pt idx="9" formatCode="0.00">
                  <c:v>413.43487375059999</c:v>
                </c:pt>
                <c:pt idx="10" formatCode="0.00">
                  <c:v>359.23046212518</c:v>
                </c:pt>
                <c:pt idx="11" formatCode="0.00">
                  <c:v>379.36913863755399</c:v>
                </c:pt>
                <c:pt idx="12" formatCode="0.00">
                  <c:v>354.61074159126622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5F-4F51-AF15-B6B2864B1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1154431"/>
        <c:axId val="631151071"/>
      </c:lineChart>
      <c:catAx>
        <c:axId val="631154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151071"/>
        <c:crosses val="autoZero"/>
        <c:auto val="1"/>
        <c:lblAlgn val="ctr"/>
        <c:lblOffset val="100"/>
        <c:noMultiLvlLbl val="0"/>
      </c:catAx>
      <c:valAx>
        <c:axId val="63115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15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'Product B'!$B$1</c:f>
              <c:strCache>
                <c:ptCount val="1"/>
                <c:pt idx="0">
                  <c:v>Sales Figure (No. of Units)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'Product B'!$B$2:$B$14</c:f>
              <c:numCache>
                <c:formatCode>General</c:formatCode>
                <c:ptCount val="13"/>
                <c:pt idx="0">
                  <c:v>446</c:v>
                </c:pt>
                <c:pt idx="1">
                  <c:v>517</c:v>
                </c:pt>
                <c:pt idx="2">
                  <c:v>604</c:v>
                </c:pt>
                <c:pt idx="3">
                  <c:v>697</c:v>
                </c:pt>
                <c:pt idx="4">
                  <c:v>772</c:v>
                </c:pt>
                <c:pt idx="5">
                  <c:v>876</c:v>
                </c:pt>
                <c:pt idx="6">
                  <c:v>931</c:v>
                </c:pt>
                <c:pt idx="7">
                  <c:v>1017</c:v>
                </c:pt>
                <c:pt idx="8">
                  <c:v>1103</c:v>
                </c:pt>
                <c:pt idx="9">
                  <c:v>1296</c:v>
                </c:pt>
                <c:pt idx="10">
                  <c:v>1535</c:v>
                </c:pt>
                <c:pt idx="11">
                  <c:v>1700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1-4CC4-B0A9-A48965700831}"/>
            </c:ext>
          </c:extLst>
        </c:ser>
        <c:ser>
          <c:idx val="1"/>
          <c:order val="1"/>
          <c:tx>
            <c:strRef>
              <c:f>'Product B'!$C$1</c:f>
              <c:strCache>
                <c:ptCount val="1"/>
                <c:pt idx="0">
                  <c:v>(MA, N = 3)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'Product B'!$C$2:$C$14</c:f>
              <c:numCache>
                <c:formatCode>General</c:formatCode>
                <c:ptCount val="13"/>
                <c:pt idx="3" formatCode="0.00">
                  <c:v>522.33333333333337</c:v>
                </c:pt>
                <c:pt idx="4" formatCode="0.00">
                  <c:v>606</c:v>
                </c:pt>
                <c:pt idx="5" formatCode="0.00">
                  <c:v>691</c:v>
                </c:pt>
                <c:pt idx="6" formatCode="0.00">
                  <c:v>781.66666666666663</c:v>
                </c:pt>
                <c:pt idx="7" formatCode="0.00">
                  <c:v>859.66666666666663</c:v>
                </c:pt>
                <c:pt idx="8" formatCode="0.00">
                  <c:v>941.33333333333337</c:v>
                </c:pt>
                <c:pt idx="9" formatCode="0.00">
                  <c:v>1017</c:v>
                </c:pt>
                <c:pt idx="10" formatCode="0.00">
                  <c:v>1138.6666666666667</c:v>
                </c:pt>
                <c:pt idx="11" formatCode="0.00">
                  <c:v>1311.3333333333333</c:v>
                </c:pt>
                <c:pt idx="12" formatCode="0.00">
                  <c:v>1510.3333333333333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1-4CC4-B0A9-A48965700831}"/>
            </c:ext>
          </c:extLst>
        </c:ser>
        <c:ser>
          <c:idx val="2"/>
          <c:order val="2"/>
          <c:tx>
            <c:strRef>
              <c:f>'Product B'!$D$1</c:f>
              <c:strCache>
                <c:ptCount val="1"/>
                <c:pt idx="0">
                  <c:v>WMA (5,3,1)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'Product B'!$D$2:$D$14</c:f>
              <c:numCache>
                <c:formatCode>0.00</c:formatCode>
                <c:ptCount val="13"/>
                <c:pt idx="3">
                  <c:v>557.44444444444446</c:v>
                </c:pt>
                <c:pt idx="4">
                  <c:v>646</c:v>
                </c:pt>
                <c:pt idx="5">
                  <c:v>728.33333333333337</c:v>
                </c:pt>
                <c:pt idx="6">
                  <c:v>821.44444444444446</c:v>
                </c:pt>
                <c:pt idx="7">
                  <c:v>895</c:v>
                </c:pt>
                <c:pt idx="8">
                  <c:v>972.66666666666663</c:v>
                </c:pt>
                <c:pt idx="9">
                  <c:v>1055.2222222222222</c:v>
                </c:pt>
                <c:pt idx="10">
                  <c:v>1200.6666666666667</c:v>
                </c:pt>
                <c:pt idx="11">
                  <c:v>1407.3333333333333</c:v>
                </c:pt>
                <c:pt idx="12">
                  <c:v>1600.1111111111111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11-4CC4-B0A9-A48965700831}"/>
            </c:ext>
          </c:extLst>
        </c:ser>
        <c:ser>
          <c:idx val="3"/>
          <c:order val="3"/>
          <c:tx>
            <c:strRef>
              <c:f>'Product B'!$E$1</c:f>
              <c:strCache>
                <c:ptCount val="1"/>
                <c:pt idx="0">
                  <c:v>SES (0.2)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'Product B'!$E$2:$E$14</c:f>
              <c:numCache>
                <c:formatCode>0.00</c:formatCode>
                <c:ptCount val="13"/>
                <c:pt idx="0">
                  <c:v>607.20000000000005</c:v>
                </c:pt>
                <c:pt idx="1">
                  <c:v>574.96</c:v>
                </c:pt>
                <c:pt idx="2">
                  <c:v>563.36800000000005</c:v>
                </c:pt>
                <c:pt idx="3">
                  <c:v>571.49440000000004</c:v>
                </c:pt>
                <c:pt idx="4">
                  <c:v>596.59552000000008</c:v>
                </c:pt>
                <c:pt idx="5">
                  <c:v>631.67641600000013</c:v>
                </c:pt>
                <c:pt idx="6">
                  <c:v>680.54113280000013</c:v>
                </c:pt>
                <c:pt idx="7">
                  <c:v>730.63290624000012</c:v>
                </c:pt>
                <c:pt idx="8">
                  <c:v>787.90632499200012</c:v>
                </c:pt>
                <c:pt idx="9">
                  <c:v>850.92505999360014</c:v>
                </c:pt>
                <c:pt idx="10">
                  <c:v>939.94004799488016</c:v>
                </c:pt>
                <c:pt idx="11">
                  <c:v>1058.9520383959043</c:v>
                </c:pt>
                <c:pt idx="12">
                  <c:v>1187.1616307167235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11-4CC4-B0A9-A48965700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5693407"/>
        <c:axId val="1415694367"/>
      </c:lineChart>
      <c:catAx>
        <c:axId val="1415693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94367"/>
        <c:crosses val="autoZero"/>
        <c:auto val="1"/>
        <c:lblAlgn val="ctr"/>
        <c:lblOffset val="100"/>
        <c:noMultiLvlLbl val="0"/>
      </c:catAx>
      <c:valAx>
        <c:axId val="141569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9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LR!$B$16</c:f>
              <c:strCache>
                <c:ptCount val="1"/>
                <c:pt idx="0">
                  <c:v>Sales Price (SGD)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4857830271216099E-2"/>
                  <c:y val="8.02026829979585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LR!$A$17:$A$28</c:f>
              <c:numCache>
                <c:formatCode>General</c:formatCode>
                <c:ptCount val="12"/>
                <c:pt idx="0">
                  <c:v>9927</c:v>
                </c:pt>
                <c:pt idx="1">
                  <c:v>34947</c:v>
                </c:pt>
                <c:pt idx="2">
                  <c:v>52178</c:v>
                </c:pt>
                <c:pt idx="3">
                  <c:v>26817</c:v>
                </c:pt>
                <c:pt idx="4">
                  <c:v>42047</c:v>
                </c:pt>
                <c:pt idx="5">
                  <c:v>34147</c:v>
                </c:pt>
                <c:pt idx="6">
                  <c:v>25003</c:v>
                </c:pt>
                <c:pt idx="7">
                  <c:v>34159</c:v>
                </c:pt>
                <c:pt idx="8">
                  <c:v>43017</c:v>
                </c:pt>
                <c:pt idx="9">
                  <c:v>12378</c:v>
                </c:pt>
                <c:pt idx="10">
                  <c:v>46168</c:v>
                </c:pt>
                <c:pt idx="11">
                  <c:v>28947</c:v>
                </c:pt>
              </c:numCache>
            </c:numRef>
          </c:xVal>
          <c:yVal>
            <c:numRef>
              <c:f>LR!$B$17:$B$28</c:f>
              <c:numCache>
                <c:formatCode>"$"#,##0_);[Red]\("$"#,##0\)</c:formatCode>
                <c:ptCount val="12"/>
                <c:pt idx="0">
                  <c:v>81048</c:v>
                </c:pt>
                <c:pt idx="1">
                  <c:v>72248</c:v>
                </c:pt>
                <c:pt idx="2">
                  <c:v>64258</c:v>
                </c:pt>
                <c:pt idx="3">
                  <c:v>77088</c:v>
                </c:pt>
                <c:pt idx="4">
                  <c:v>66448</c:v>
                </c:pt>
                <c:pt idx="5">
                  <c:v>76248</c:v>
                </c:pt>
                <c:pt idx="6">
                  <c:v>76248</c:v>
                </c:pt>
                <c:pt idx="7">
                  <c:v>73048</c:v>
                </c:pt>
                <c:pt idx="8">
                  <c:v>70648</c:v>
                </c:pt>
                <c:pt idx="9">
                  <c:v>81128</c:v>
                </c:pt>
                <c:pt idx="10">
                  <c:v>68448</c:v>
                </c:pt>
                <c:pt idx="11">
                  <c:v>75848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81-4B1B-8BF8-CD5DDD410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291295"/>
        <c:axId val="1943290335"/>
      </c:scatterChart>
      <c:valAx>
        <c:axId val="194329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290335"/>
        <c:crosses val="autoZero"/>
        <c:crossBetween val="midCat"/>
      </c:valAx>
      <c:valAx>
        <c:axId val="194329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29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Percentage of Senior Citizen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44030930218256"/>
          <c:y val="0.16514531811938041"/>
          <c:w val="0.84345245500844213"/>
          <c:h val="0.65050412054297335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09284776902887"/>
                  <c:y val="0.114314668999708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'Holt''s &amp; LR (HC)'!$B$4:$B$16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'Holt''s &amp; LR (HC)'!$C$4:$C$16</c:f>
              <c:numCache>
                <c:formatCode>General</c:formatCode>
                <c:ptCount val="13"/>
                <c:pt idx="0">
                  <c:v>4.0999999999999996</c:v>
                </c:pt>
                <c:pt idx="1">
                  <c:v>4.2</c:v>
                </c:pt>
                <c:pt idx="2">
                  <c:v>4.2</c:v>
                </c:pt>
                <c:pt idx="3">
                  <c:v>4.2</c:v>
                </c:pt>
                <c:pt idx="4">
                  <c:v>4.5999999999999996</c:v>
                </c:pt>
                <c:pt idx="5">
                  <c:v>5.0999999999999996</c:v>
                </c:pt>
                <c:pt idx="6">
                  <c:v>5.5</c:v>
                </c:pt>
                <c:pt idx="7">
                  <c:v>5.7</c:v>
                </c:pt>
                <c:pt idx="8">
                  <c:v>6.1</c:v>
                </c:pt>
                <c:pt idx="9">
                  <c:v>6.3</c:v>
                </c:pt>
                <c:pt idx="10">
                  <c:v>6.9</c:v>
                </c:pt>
                <c:pt idx="11">
                  <c:v>8.5</c:v>
                </c:pt>
                <c:pt idx="12">
                  <c:v>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58-4132-A1C7-C770DB5C0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41999"/>
        <c:axId val="1996740079"/>
      </c:scatterChart>
      <c:valAx>
        <c:axId val="199674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Period</a:t>
                </a:r>
              </a:p>
            </c:rich>
          </c:tx>
          <c:layout>
            <c:manualLayout>
              <c:xMode val="edge"/>
              <c:yMode val="edge"/>
              <c:x val="0.46769390028848618"/>
              <c:y val="0.85974249363489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40079"/>
        <c:crosses val="autoZero"/>
        <c:crossBetween val="midCat"/>
      </c:valAx>
      <c:valAx>
        <c:axId val="19967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Percentage of Senior</a:t>
                </a:r>
                <a:r>
                  <a:rPr lang="en-SG" baseline="0"/>
                  <a:t> Citizen (%)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41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Percentage of Senior Citizens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Actual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'Holt''s &amp; LR (HC)'!$A$4:$A$16</c:f>
              <c:numCache>
                <c:formatCode>General</c:formatCode>
                <c:ptCount val="13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</c:numCache>
            </c:numRef>
          </c:xVal>
          <c:yVal>
            <c:numRef>
              <c:f>'Holt''s &amp; LR (HC)'!$C$4:$C$16</c:f>
              <c:numCache>
                <c:formatCode>General</c:formatCode>
                <c:ptCount val="13"/>
                <c:pt idx="0">
                  <c:v>4.0999999999999996</c:v>
                </c:pt>
                <c:pt idx="1">
                  <c:v>4.2</c:v>
                </c:pt>
                <c:pt idx="2">
                  <c:v>4.2</c:v>
                </c:pt>
                <c:pt idx="3">
                  <c:v>4.2</c:v>
                </c:pt>
                <c:pt idx="4">
                  <c:v>4.5999999999999996</c:v>
                </c:pt>
                <c:pt idx="5">
                  <c:v>5.0999999999999996</c:v>
                </c:pt>
                <c:pt idx="6">
                  <c:v>5.5</c:v>
                </c:pt>
                <c:pt idx="7">
                  <c:v>5.7</c:v>
                </c:pt>
                <c:pt idx="8">
                  <c:v>6.1</c:v>
                </c:pt>
                <c:pt idx="9">
                  <c:v>6.3</c:v>
                </c:pt>
                <c:pt idx="10">
                  <c:v>6.9</c:v>
                </c:pt>
                <c:pt idx="11">
                  <c:v>8.5</c:v>
                </c:pt>
                <c:pt idx="12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0C-4B2E-BF8A-2B87221780BD}"/>
            </c:ext>
          </c:extLst>
        </c:ser>
        <c:ser>
          <c:idx val="1"/>
          <c:order val="1"/>
          <c:tx>
            <c:v>Linear Regression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'Holt''s &amp; LR (HC)'!$A$4:$A$16</c:f>
              <c:numCache>
                <c:formatCode>General</c:formatCode>
                <c:ptCount val="13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</c:numCache>
            </c:numRef>
          </c:xVal>
          <c:yVal>
            <c:numRef>
              <c:f>'Holt''s &amp; LR (HC)'!$D$4:$D$16</c:f>
              <c:numCache>
                <c:formatCode>0.0000</c:formatCode>
                <c:ptCount val="13"/>
                <c:pt idx="0">
                  <c:v>3.3021978021978029</c:v>
                </c:pt>
                <c:pt idx="1">
                  <c:v>3.7120879120879131</c:v>
                </c:pt>
                <c:pt idx="2">
                  <c:v>4.1219780219780233</c:v>
                </c:pt>
                <c:pt idx="3">
                  <c:v>4.5318681318681326</c:v>
                </c:pt>
                <c:pt idx="4">
                  <c:v>4.941758241758242</c:v>
                </c:pt>
                <c:pt idx="5">
                  <c:v>5.3516483516483522</c:v>
                </c:pt>
                <c:pt idx="6">
                  <c:v>5.7615384615384624</c:v>
                </c:pt>
                <c:pt idx="7">
                  <c:v>6.1714285714285726</c:v>
                </c:pt>
                <c:pt idx="8">
                  <c:v>6.5813186813186819</c:v>
                </c:pt>
                <c:pt idx="9">
                  <c:v>6.9912087912087912</c:v>
                </c:pt>
                <c:pt idx="10">
                  <c:v>7.4010989010989015</c:v>
                </c:pt>
                <c:pt idx="11">
                  <c:v>7.8109890109890117</c:v>
                </c:pt>
                <c:pt idx="12">
                  <c:v>8.2208791208791219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0C-4B2E-BF8A-2B87221780BD}"/>
            </c:ext>
          </c:extLst>
        </c:ser>
        <c:ser>
          <c:idx val="2"/>
          <c:order val="2"/>
          <c:tx>
            <c:v>Holt's Method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'Holt''s &amp; LR (HC)'!$A$4:$A$16</c:f>
              <c:numCache>
                <c:formatCode>General</c:formatCode>
                <c:ptCount val="13"/>
                <c:pt idx="0">
                  <c:v>1960</c:v>
                </c:pt>
                <c:pt idx="1">
                  <c:v>1965</c:v>
                </c:pt>
                <c:pt idx="2">
                  <c:v>1970</c:v>
                </c:pt>
                <c:pt idx="3">
                  <c:v>1975</c:v>
                </c:pt>
                <c:pt idx="4">
                  <c:v>1980</c:v>
                </c:pt>
                <c:pt idx="5">
                  <c:v>1985</c:v>
                </c:pt>
                <c:pt idx="6">
                  <c:v>1990</c:v>
                </c:pt>
                <c:pt idx="7">
                  <c:v>1995</c:v>
                </c:pt>
                <c:pt idx="8">
                  <c:v>2000</c:v>
                </c:pt>
                <c:pt idx="9">
                  <c:v>2005</c:v>
                </c:pt>
                <c:pt idx="10">
                  <c:v>2010</c:v>
                </c:pt>
                <c:pt idx="11">
                  <c:v>2015</c:v>
                </c:pt>
                <c:pt idx="12">
                  <c:v>2020</c:v>
                </c:pt>
              </c:numCache>
            </c:numRef>
          </c:xVal>
          <c:yVal>
            <c:numRef>
              <c:f>'Holt''s &amp; LR (HC)'!$F$23:$F$37</c:f>
              <c:numCache>
                <c:formatCode>0.0000</c:formatCode>
                <c:ptCount val="15"/>
                <c:pt idx="0">
                  <c:v>3.3021978021978029</c:v>
                </c:pt>
                <c:pt idx="1">
                  <c:v>4.3822417582417579</c:v>
                </c:pt>
                <c:pt idx="2">
                  <c:v>4.7507410989010985</c:v>
                </c:pt>
                <c:pt idx="3">
                  <c:v>4.7841871472527471</c:v>
                </c:pt>
                <c:pt idx="4">
                  <c:v>4.7124347611428572</c:v>
                </c:pt>
                <c:pt idx="5">
                  <c:v>4.95516817874989</c:v>
                </c:pt>
                <c:pt idx="6">
                  <c:v>5.3982646590070154</c:v>
                </c:pt>
                <c:pt idx="7">
                  <c:v>5.8254365508231709</c:v>
                </c:pt>
                <c:pt idx="8">
                  <c:v>6.0760270012527737</c:v>
                </c:pt>
                <c:pt idx="9">
                  <c:v>6.4345603562062657</c:v>
                </c:pt>
                <c:pt idx="10">
                  <c:v>6.663281912823436</c:v>
                </c:pt>
                <c:pt idx="11">
                  <c:v>7.1850389120133071</c:v>
                </c:pt>
                <c:pt idx="12">
                  <c:v>8.6456605640884057</c:v>
                </c:pt>
                <c:pt idx="13">
                  <c:v>9.9034545807385577</c:v>
                </c:pt>
                <c:pt idx="14">
                  <c:v>10.563210992250593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20C-4B2E-BF8A-2B8722178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884608"/>
        <c:axId val="2017887008"/>
      </c:scatterChart>
      <c:valAx>
        <c:axId val="201788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87008"/>
        <c:crosses val="autoZero"/>
        <c:crossBetween val="midCat"/>
      </c:valAx>
      <c:valAx>
        <c:axId val="201788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Percentage</a:t>
                </a:r>
                <a:r>
                  <a:rPr lang="en-SG" baseline="0"/>
                  <a:t> of senior citizens (%)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84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3.png"/><Relationship Id="rId1" Type="http://schemas.openxmlformats.org/officeDocument/2006/relationships/image" Target="../media/image4.png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425620</xdr:colOff>
      <xdr:row>1</xdr:row>
      <xdr:rowOff>70021</xdr:rowOff>
    </xdr:from>
    <xdr:to>
      <xdr:col>13</xdr:col>
      <xdr:colOff>449647</xdr:colOff>
      <xdr:row>15</xdr:row>
      <xdr:rowOff>58694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CEFB9C-042C-240B-A51B-12A01CB89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621109</xdr:colOff>
      <xdr:row>0</xdr:row>
      <xdr:rowOff>248974</xdr:rowOff>
    </xdr:from>
    <xdr:to>
      <xdr:col>10</xdr:col>
      <xdr:colOff>318161</xdr:colOff>
      <xdr:row>17</xdr:row>
      <xdr:rowOff>128059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F3918-57E6-9C14-7563-E8509041D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647700</xdr:colOff>
      <xdr:row>0</xdr:row>
      <xdr:rowOff>44450</xdr:rowOff>
    </xdr:from>
    <xdr:to>
      <xdr:col>8</xdr:col>
      <xdr:colOff>38382</xdr:colOff>
      <xdr:row>1</xdr:row>
      <xdr:rowOff>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0F34B8-F906-A139-EE2F-DB31B9AA4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4800" y="44450"/>
          <a:ext cx="2019582" cy="381053"/>
        </a:xfrm>
        <a:prstGeom prst="rect">
          <a:avLst/>
        </a:prstGeom>
      </xdr:spPr>
    </xdr:pic>
    <xdr:clientData/>
  </xdr:twoCellAnchor>
  <xdr:twoCellAnchor editAs="oneCell">
    <xdr:from>
      <xdr:col>5</xdr:col>
      <xdr:colOff>556605</xdr:colOff>
      <xdr:row>18</xdr:row>
      <xdr:rowOff>0</xdr:rowOff>
    </xdr:from>
    <xdr:to>
      <xdr:col>7</xdr:col>
      <xdr:colOff>823587</xdr:colOff>
      <xdr:row>19</xdr:row>
      <xdr:rowOff>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B04CE4-44E0-4BA1-9AC7-D3B21DF9E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827" y="2986852"/>
          <a:ext cx="2023031" cy="381053"/>
        </a:xfrm>
        <a:prstGeom prst="rect">
          <a:avLst/>
        </a:prstGeom>
      </xdr:spPr>
    </xdr:pic>
    <xdr:clientData/>
  </xdr:twoCellAnchor>
  <xdr:twoCellAnchor>
    <xdr:from>
      <xdr:col>8</xdr:col>
      <xdr:colOff>389192</xdr:colOff>
      <xdr:row>1</xdr:row>
      <xdr:rowOff>32887</xdr:rowOff>
    </xdr:from>
    <xdr:to>
      <xdr:col>13</xdr:col>
      <xdr:colOff>569344</xdr:colOff>
      <xdr:row>18</xdr:row>
      <xdr:rowOff>238047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7A8AE4-6437-B92E-5DDA-F0A3F1CAA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9</xdr:col>
      <xdr:colOff>190311</xdr:colOff>
      <xdr:row>1</xdr:row>
      <xdr:rowOff>63553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3477DF-0121-4765-A18B-649A4E5C9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2407" y="0"/>
          <a:ext cx="2024756" cy="381053"/>
        </a:xfrm>
        <a:prstGeom prst="rect">
          <a:avLst/>
        </a:prstGeom>
      </xdr:spPr>
    </xdr:pic>
    <xdr:clientData/>
  </xdr:twoCellAnchor>
  <xdr:twoCellAnchor>
    <xdr:from>
      <xdr:col>5</xdr:col>
      <xdr:colOff>604589</xdr:colOff>
      <xdr:row>1</xdr:row>
      <xdr:rowOff>117321</xdr:rowOff>
    </xdr:from>
    <xdr:to>
      <xdr:col>13</xdr:col>
      <xdr:colOff>566145</xdr:colOff>
      <xdr:row>18</xdr:row>
      <xdr:rowOff>99457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F06745-2990-19B2-C008-5EB0F365B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117475</xdr:colOff>
      <xdr:row>11</xdr:row>
      <xdr:rowOff>79375</xdr:rowOff>
    </xdr:from>
    <xdr:to>
      <xdr:col>12</xdr:col>
      <xdr:colOff>422275</xdr:colOff>
      <xdr:row>27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FB8259-1BAA-26D3-A45F-77F5C19C9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144318</xdr:colOff>
      <xdr:row>8</xdr:row>
      <xdr:rowOff>72159</xdr:rowOff>
    </xdr:from>
    <xdr:to>
      <xdr:col>24</xdr:col>
      <xdr:colOff>259570</xdr:colOff>
      <xdr:row>36</xdr:row>
      <xdr:rowOff>21471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6C673F-5AF4-91E4-CD1F-B9A3AAE83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2613" y="1573068"/>
          <a:ext cx="6782752" cy="49282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621447</xdr:colOff>
      <xdr:row>14</xdr:row>
      <xdr:rowOff>88195</xdr:rowOff>
    </xdr:from>
    <xdr:to>
      <xdr:col>16</xdr:col>
      <xdr:colOff>474486</xdr:colOff>
      <xdr:row>34</xdr:row>
      <xdr:rowOff>11815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569C1-2640-CCB2-66C5-9A9E09F1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17003" y="2557639"/>
          <a:ext cx="5426928" cy="34836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313967</xdr:colOff>
      <xdr:row>16</xdr:row>
      <xdr:rowOff>133657</xdr:rowOff>
    </xdr:from>
    <xdr:to>
      <xdr:col>25</xdr:col>
      <xdr:colOff>289716</xdr:colOff>
      <xdr:row>47</xdr:row>
      <xdr:rowOff>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BABC25-D4B8-DE85-608B-73E0CAB90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5872" y="3036514"/>
          <a:ext cx="8230749" cy="5694216"/>
        </a:xfrm>
        <a:prstGeom prst="rect">
          <a:avLst/>
        </a:prstGeom>
      </xdr:spPr>
    </xdr:pic>
    <xdr:clientData/>
  </xdr:twoCellAnchor>
  <xdr:twoCellAnchor editAs="oneCell">
    <xdr:from>
      <xdr:col>4</xdr:col>
      <xdr:colOff>496238</xdr:colOff>
      <xdr:row>37</xdr:row>
      <xdr:rowOff>110128</xdr:rowOff>
    </xdr:from>
    <xdr:to>
      <xdr:col>11</xdr:col>
      <xdr:colOff>450112</xdr:colOff>
      <xdr:row>57</xdr:row>
      <xdr:rowOff>18089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B5F833-6CE5-41F7-A62A-BBDB1E4AA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4542" y="7027092"/>
          <a:ext cx="5374052" cy="3536533"/>
        </a:xfrm>
        <a:prstGeom prst="rect">
          <a:avLst/>
        </a:prstGeom>
      </xdr:spPr>
    </xdr:pic>
    <xdr:clientData/>
  </xdr:twoCellAnchor>
  <xdr:twoCellAnchor>
    <xdr:from>
      <xdr:col>14</xdr:col>
      <xdr:colOff>121679</xdr:colOff>
      <xdr:row>0</xdr:row>
      <xdr:rowOff>0</xdr:rowOff>
    </xdr:from>
    <xdr:to>
      <xdr:col>22</xdr:col>
      <xdr:colOff>40317</xdr:colOff>
      <xdr:row>17</xdr:row>
      <xdr:rowOff>141110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D16079-DC57-4C92-3875-016D66CE7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635000</xdr:colOff>
      <xdr:row>21</xdr:row>
      <xdr:rowOff>23519</xdr:rowOff>
    </xdr:from>
    <xdr:to>
      <xdr:col>3</xdr:col>
      <xdr:colOff>1228843</xdr:colOff>
      <xdr:row>21</xdr:row>
      <xdr:rowOff>170510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F0B4FC0-D618-8DB9-9BFF-456B5B370C36}"/>
            </a:ext>
          </a:extLst>
        </xdr:cNvPr>
        <xdr:cNvSpPr/>
      </xdr:nvSpPr>
      <xdr:spPr>
        <a:xfrm>
          <a:off x="3151481" y="3762963"/>
          <a:ext cx="593843" cy="146991"/>
        </a:xfrm>
        <a:prstGeom prst="rect">
          <a:avLst/>
        </a:prstGeom>
        <a:noFill/>
        <a:ln w="2857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3</xdr:col>
      <xdr:colOff>1228843</xdr:colOff>
      <xdr:row>18</xdr:row>
      <xdr:rowOff>93211</xdr:rowOff>
    </xdr:from>
    <xdr:to>
      <xdr:col>4</xdr:col>
      <xdr:colOff>1194266</xdr:colOff>
      <xdr:row>21</xdr:row>
      <xdr:rowOff>97015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436608B-5563-867C-2377-C99336C5C70F}"/>
            </a:ext>
          </a:extLst>
        </xdr:cNvPr>
        <xdr:cNvCxnSpPr>
          <a:stCxn id="6" idx="3"/>
        </xdr:cNvCxnSpPr>
      </xdr:nvCxnSpPr>
      <xdr:spPr>
        <a:xfrm flipV="1">
          <a:off x="3751366" y="3343945"/>
          <a:ext cx="1817992" cy="57472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867433</xdr:colOff>
      <xdr:row>18</xdr:row>
      <xdr:rowOff>110688</xdr:rowOff>
    </xdr:from>
    <xdr:to>
      <xdr:col>6</xdr:col>
      <xdr:colOff>11652</xdr:colOff>
      <xdr:row>21</xdr:row>
      <xdr:rowOff>96368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CED843C-4EB3-478F-9408-7697D21616A3}"/>
            </a:ext>
          </a:extLst>
        </xdr:cNvPr>
        <xdr:cNvCxnSpPr>
          <a:stCxn id="15" idx="3"/>
        </xdr:cNvCxnSpPr>
      </xdr:nvCxnSpPr>
      <xdr:spPr>
        <a:xfrm flipV="1">
          <a:off x="5242525" y="3361422"/>
          <a:ext cx="1264769" cy="55659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273590</xdr:colOff>
      <xdr:row>21</xdr:row>
      <xdr:rowOff>22872</xdr:rowOff>
    </xdr:from>
    <xdr:to>
      <xdr:col>4</xdr:col>
      <xdr:colOff>867433</xdr:colOff>
      <xdr:row>21</xdr:row>
      <xdr:rowOff>169863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AC2A2E4-BC31-4BE2-B66C-5E8EC40837B2}"/>
            </a:ext>
          </a:extLst>
        </xdr:cNvPr>
        <xdr:cNvSpPr/>
      </xdr:nvSpPr>
      <xdr:spPr>
        <a:xfrm>
          <a:off x="4648682" y="3844523"/>
          <a:ext cx="593843" cy="146991"/>
        </a:xfrm>
        <a:prstGeom prst="rect">
          <a:avLst/>
        </a:prstGeom>
        <a:noFill/>
        <a:ln w="2857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22</xdr:col>
      <xdr:colOff>467319</xdr:colOff>
      <xdr:row>0</xdr:row>
      <xdr:rowOff>59531</xdr:rowOff>
    </xdr:from>
    <xdr:to>
      <xdr:col>29</xdr:col>
      <xdr:colOff>511686</xdr:colOff>
      <xdr:row>15</xdr:row>
      <xdr:rowOff>111196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EE0849-012C-396D-1090-121E1DDA2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showGridLines="0" zoomScale="74" zoomScaleNormal="100" workbookViewId="0">
      <selection activeCell="E37" sqref="E37"/>
    </sheetView>
  </sheetViews>
  <sheetFormatPr defaultRowHeight="12.5" x14ac:dyDescent="0.25"/>
  <cols>
    <col min="1" max="1" width="13" customWidth="1"/>
    <col min="2" max="2" width="16.6328125" customWidth="1"/>
    <col min="3" max="3" width="13.7265625" bestFit="1" customWidth="1"/>
    <col min="4" max="4" width="15.90625" bestFit="1" customWidth="1"/>
    <col min="5" max="5" width="22.6328125" bestFit="1" customWidth="1"/>
    <col min="6" max="6" width="14.81640625" bestFit="1" customWidth="1"/>
    <col min="7" max="7" width="17" customWidth="1"/>
    <col min="8" max="8" width="24" customWidth="1"/>
    <col min="9" max="252" width="13" customWidth="1"/>
  </cols>
  <sheetData>
    <row r="1" spans="1:8" x14ac:dyDescent="0.25">
      <c r="A1" s="1"/>
    </row>
    <row r="2" spans="1:8" s="17" customFormat="1" ht="38" x14ac:dyDescent="0.25">
      <c r="A2" s="5" t="s">
        <v>0</v>
      </c>
      <c r="B2" s="11" t="s">
        <v>18</v>
      </c>
      <c r="C2" s="11" t="s">
        <v>10</v>
      </c>
      <c r="D2" s="11" t="s">
        <v>12</v>
      </c>
      <c r="E2" s="32" t="s">
        <v>11</v>
      </c>
      <c r="F2" s="11" t="s">
        <v>13</v>
      </c>
      <c r="G2" s="11" t="s">
        <v>12</v>
      </c>
      <c r="H2" s="32" t="s">
        <v>11</v>
      </c>
    </row>
    <row r="3" spans="1:8" x14ac:dyDescent="0.25">
      <c r="A3" s="18">
        <v>44124</v>
      </c>
      <c r="B3" s="8">
        <v>501</v>
      </c>
      <c r="C3" s="36"/>
      <c r="D3" s="8"/>
      <c r="E3" s="8"/>
      <c r="F3" s="36"/>
      <c r="G3" s="8"/>
      <c r="H3" s="8"/>
    </row>
    <row r="4" spans="1:8" x14ac:dyDescent="0.25">
      <c r="A4" s="18">
        <v>44155</v>
      </c>
      <c r="B4" s="8">
        <v>429</v>
      </c>
      <c r="C4" s="36"/>
      <c r="D4" s="8"/>
      <c r="E4" s="8"/>
      <c r="F4" s="36"/>
      <c r="G4" s="8"/>
      <c r="H4" s="8"/>
    </row>
    <row r="5" spans="1:8" x14ac:dyDescent="0.25">
      <c r="A5" s="18">
        <v>44185</v>
      </c>
      <c r="B5" s="8">
        <v>352</v>
      </c>
      <c r="C5" s="36"/>
      <c r="D5" s="8"/>
      <c r="E5" s="8"/>
      <c r="F5" s="36"/>
      <c r="G5" s="8"/>
      <c r="H5" s="8"/>
    </row>
    <row r="6" spans="1:8" x14ac:dyDescent="0.25">
      <c r="A6" s="18">
        <v>44216</v>
      </c>
      <c r="B6" s="8">
        <v>472</v>
      </c>
      <c r="C6" s="34">
        <f>(B3+B4+B5)/3</f>
        <v>427.33333333333331</v>
      </c>
      <c r="D6" s="34">
        <f>ABS(B6-C6)</f>
        <v>44.666666666666686</v>
      </c>
      <c r="E6" s="35">
        <f>ABS((B6-C6)/B6)</f>
        <v>9.4632768361581965E-2</v>
      </c>
      <c r="F6" s="39"/>
      <c r="G6" s="34"/>
      <c r="H6" s="35"/>
    </row>
    <row r="7" spans="1:8" x14ac:dyDescent="0.25">
      <c r="A7" s="18">
        <v>44247</v>
      </c>
      <c r="B7" s="8">
        <v>342</v>
      </c>
      <c r="C7" s="34">
        <f t="shared" ref="C7:C15" si="0">(B4+B5+B6)/3</f>
        <v>417.66666666666669</v>
      </c>
      <c r="D7" s="34">
        <f t="shared" ref="D7:D14" si="1">ABS(B7-C7)</f>
        <v>75.666666666666686</v>
      </c>
      <c r="E7" s="35">
        <f t="shared" ref="E7:E14" si="2">ABS((B7-C7)/B7)</f>
        <v>0.22124756335282655</v>
      </c>
      <c r="F7" s="39"/>
      <c r="G7" s="34"/>
      <c r="H7" s="35"/>
    </row>
    <row r="8" spans="1:8" x14ac:dyDescent="0.25">
      <c r="A8" s="18">
        <v>44275</v>
      </c>
      <c r="B8" s="8">
        <v>367</v>
      </c>
      <c r="C8" s="34">
        <f t="shared" si="0"/>
        <v>388.66666666666669</v>
      </c>
      <c r="D8" s="34">
        <f t="shared" si="1"/>
        <v>21.666666666666686</v>
      </c>
      <c r="E8" s="35">
        <f t="shared" si="2"/>
        <v>5.9037238873751188E-2</v>
      </c>
      <c r="F8" s="39"/>
      <c r="G8" s="34"/>
      <c r="H8" s="35"/>
    </row>
    <row r="9" spans="1:8" x14ac:dyDescent="0.25">
      <c r="A9" s="18">
        <v>44306</v>
      </c>
      <c r="B9" s="8">
        <v>370</v>
      </c>
      <c r="C9" s="34">
        <f t="shared" si="0"/>
        <v>393.66666666666669</v>
      </c>
      <c r="D9" s="34">
        <f t="shared" si="1"/>
        <v>23.666666666666686</v>
      </c>
      <c r="E9" s="35">
        <f t="shared" si="2"/>
        <v>6.3963963963964018E-2</v>
      </c>
      <c r="F9" s="34">
        <f>(B3+B4+B5+B6+B7+B8)/6</f>
        <v>410.5</v>
      </c>
      <c r="G9" s="34">
        <f>ABS(B9-F9)</f>
        <v>40.5</v>
      </c>
      <c r="H9" s="35">
        <f>ABS(B9-F9)/B9</f>
        <v>0.10945945945945947</v>
      </c>
    </row>
    <row r="10" spans="1:8" x14ac:dyDescent="0.25">
      <c r="A10" s="18">
        <v>44336</v>
      </c>
      <c r="B10" s="8">
        <v>437</v>
      </c>
      <c r="C10" s="34">
        <f t="shared" si="0"/>
        <v>359.66666666666669</v>
      </c>
      <c r="D10" s="34">
        <f t="shared" si="1"/>
        <v>77.333333333333314</v>
      </c>
      <c r="E10" s="35">
        <f t="shared" si="2"/>
        <v>0.17696414950419523</v>
      </c>
      <c r="F10" s="34">
        <f t="shared" ref="F10:F15" si="3">(B4+B5+B6+B7+B8+B9)/6</f>
        <v>388.66666666666669</v>
      </c>
      <c r="G10" s="34">
        <f t="shared" ref="G10:G14" si="4">ABS(B10-F10)</f>
        <v>48.333333333333314</v>
      </c>
      <c r="H10" s="35">
        <f t="shared" ref="H10:H14" si="5">ABS(B10-F10)/B10</f>
        <v>0.11060259344012201</v>
      </c>
    </row>
    <row r="11" spans="1:8" x14ac:dyDescent="0.25">
      <c r="A11" s="18">
        <v>44367</v>
      </c>
      <c r="B11" s="8">
        <v>412</v>
      </c>
      <c r="C11" s="34">
        <f t="shared" si="0"/>
        <v>391.33333333333331</v>
      </c>
      <c r="D11" s="34">
        <f t="shared" si="1"/>
        <v>20.666666666666686</v>
      </c>
      <c r="E11" s="35">
        <f t="shared" si="2"/>
        <v>5.0161812297734677E-2</v>
      </c>
      <c r="F11" s="34">
        <f t="shared" si="3"/>
        <v>390</v>
      </c>
      <c r="G11" s="34">
        <f t="shared" si="4"/>
        <v>22</v>
      </c>
      <c r="H11" s="35">
        <f t="shared" si="5"/>
        <v>5.3398058252427182E-2</v>
      </c>
    </row>
    <row r="12" spans="1:8" x14ac:dyDescent="0.25">
      <c r="A12" s="18">
        <v>44397</v>
      </c>
      <c r="B12" s="8">
        <v>336</v>
      </c>
      <c r="C12" s="34">
        <f t="shared" si="0"/>
        <v>406.33333333333331</v>
      </c>
      <c r="D12" s="34">
        <f t="shared" si="1"/>
        <v>70.333333333333314</v>
      </c>
      <c r="E12" s="35">
        <f t="shared" si="2"/>
        <v>0.20932539682539678</v>
      </c>
      <c r="F12" s="34">
        <f t="shared" si="3"/>
        <v>400</v>
      </c>
      <c r="G12" s="34">
        <f t="shared" si="4"/>
        <v>64</v>
      </c>
      <c r="H12" s="35">
        <f t="shared" si="5"/>
        <v>0.19047619047619047</v>
      </c>
    </row>
    <row r="13" spans="1:8" x14ac:dyDescent="0.25">
      <c r="A13" s="18">
        <v>44428</v>
      </c>
      <c r="B13" s="8">
        <v>388</v>
      </c>
      <c r="C13" s="34">
        <f t="shared" si="0"/>
        <v>395</v>
      </c>
      <c r="D13" s="34">
        <f t="shared" si="1"/>
        <v>7</v>
      </c>
      <c r="E13" s="35">
        <f t="shared" si="2"/>
        <v>1.804123711340206E-2</v>
      </c>
      <c r="F13" s="34">
        <f t="shared" si="3"/>
        <v>377.33333333333331</v>
      </c>
      <c r="G13" s="34">
        <f t="shared" si="4"/>
        <v>10.666666666666686</v>
      </c>
      <c r="H13" s="35">
        <f t="shared" si="5"/>
        <v>2.7491408934707952E-2</v>
      </c>
    </row>
    <row r="14" spans="1:8" x14ac:dyDescent="0.25">
      <c r="A14" s="18">
        <v>44459</v>
      </c>
      <c r="B14" s="8">
        <v>344</v>
      </c>
      <c r="C14" s="34">
        <f t="shared" si="0"/>
        <v>378.66666666666669</v>
      </c>
      <c r="D14" s="34">
        <f t="shared" si="1"/>
        <v>34.666666666666686</v>
      </c>
      <c r="E14" s="35">
        <f t="shared" si="2"/>
        <v>0.10077519379844967</v>
      </c>
      <c r="F14" s="34">
        <f t="shared" si="3"/>
        <v>385</v>
      </c>
      <c r="G14" s="34">
        <f t="shared" si="4"/>
        <v>41</v>
      </c>
      <c r="H14" s="35">
        <f t="shared" si="5"/>
        <v>0.11918604651162791</v>
      </c>
    </row>
    <row r="15" spans="1:8" x14ac:dyDescent="0.25">
      <c r="A15" s="18">
        <v>44489</v>
      </c>
      <c r="B15" s="37"/>
      <c r="C15" s="38">
        <f t="shared" si="0"/>
        <v>356</v>
      </c>
      <c r="D15" s="34"/>
      <c r="E15" s="33"/>
      <c r="F15" s="38">
        <f t="shared" si="3"/>
        <v>381.16666666666669</v>
      </c>
      <c r="G15" s="34"/>
      <c r="H15" s="33"/>
    </row>
    <row r="16" spans="1:8" x14ac:dyDescent="0.25">
      <c r="A16" s="9"/>
      <c r="B16" s="10"/>
    </row>
    <row r="17" spans="1:8" ht="25.5" customHeight="1" x14ac:dyDescent="0.25">
      <c r="A17" s="9"/>
      <c r="B17" s="10"/>
      <c r="C17" s="42" t="s">
        <v>14</v>
      </c>
      <c r="D17" s="34">
        <f>AVERAGE(D6:D14)</f>
        <v>41.740740740740748</v>
      </c>
      <c r="E17" s="8"/>
      <c r="F17" s="42" t="s">
        <v>14</v>
      </c>
      <c r="G17" s="34">
        <f>AVERAGE(G9:G14)</f>
        <v>37.75</v>
      </c>
      <c r="H17" s="8"/>
    </row>
    <row r="18" spans="1:8" x14ac:dyDescent="0.25">
      <c r="A18" s="9"/>
      <c r="B18" s="10"/>
      <c r="C18" s="42" t="s">
        <v>15</v>
      </c>
      <c r="D18" s="8"/>
      <c r="E18" s="43">
        <f>AVERAGE(E6:E14)</f>
        <v>0.11046103601014469</v>
      </c>
      <c r="F18" s="42" t="s">
        <v>15</v>
      </c>
      <c r="G18" s="8"/>
      <c r="H18" s="43">
        <f>AVERAGE(H9:H14)</f>
        <v>0.1017689595124225</v>
      </c>
    </row>
    <row r="20" spans="1:8" x14ac:dyDescent="0.25">
      <c r="A20" s="1"/>
      <c r="B20" s="4"/>
    </row>
    <row r="21" spans="1:8" ht="37.5" x14ac:dyDescent="0.25">
      <c r="A21" s="5" t="s">
        <v>0</v>
      </c>
      <c r="B21" s="11" t="s">
        <v>16</v>
      </c>
      <c r="C21" s="11" t="s">
        <v>17</v>
      </c>
      <c r="D21" s="11" t="s">
        <v>12</v>
      </c>
      <c r="E21" s="32" t="s">
        <v>11</v>
      </c>
    </row>
    <row r="22" spans="1:8" x14ac:dyDescent="0.25">
      <c r="A22" s="18">
        <v>44124</v>
      </c>
      <c r="B22" s="8">
        <v>501</v>
      </c>
      <c r="C22" s="36"/>
      <c r="D22" s="8"/>
      <c r="E22" s="8"/>
    </row>
    <row r="23" spans="1:8" x14ac:dyDescent="0.25">
      <c r="A23" s="18">
        <v>44155</v>
      </c>
      <c r="B23" s="8">
        <v>429</v>
      </c>
      <c r="C23" s="36"/>
      <c r="D23" s="8"/>
      <c r="E23" s="8"/>
    </row>
    <row r="24" spans="1:8" x14ac:dyDescent="0.25">
      <c r="A24" s="18">
        <v>44185</v>
      </c>
      <c r="B24" s="8">
        <v>352</v>
      </c>
      <c r="C24" s="36"/>
      <c r="D24" s="8"/>
      <c r="E24" s="8"/>
    </row>
    <row r="25" spans="1:8" ht="13.5" customHeight="1" x14ac:dyDescent="0.25">
      <c r="A25" s="18">
        <v>44216</v>
      </c>
      <c r="B25" s="8">
        <v>472</v>
      </c>
      <c r="C25" s="39"/>
      <c r="D25" s="34"/>
      <c r="E25" s="35"/>
    </row>
    <row r="26" spans="1:8" ht="14.5" customHeight="1" x14ac:dyDescent="0.25">
      <c r="A26" s="18">
        <v>44247</v>
      </c>
      <c r="B26" s="8">
        <v>342</v>
      </c>
      <c r="C26" s="34">
        <f>(B22+B23+B24+B25)/4</f>
        <v>438.5</v>
      </c>
      <c r="D26" s="34">
        <f>ABS(B26-C26)</f>
        <v>96.5</v>
      </c>
      <c r="E26" s="35">
        <f>D26/B26</f>
        <v>0.28216374269005851</v>
      </c>
    </row>
    <row r="27" spans="1:8" ht="13.9" customHeight="1" x14ac:dyDescent="0.25">
      <c r="A27" s="18">
        <v>44275</v>
      </c>
      <c r="B27" s="8">
        <v>367</v>
      </c>
      <c r="C27" s="34">
        <f t="shared" ref="C27:C34" si="6">(B23+B24+B25+B26)/4</f>
        <v>398.75</v>
      </c>
      <c r="D27" s="34">
        <f t="shared" ref="D27:D33" si="7">ABS(B27-C27)</f>
        <v>31.75</v>
      </c>
      <c r="E27" s="35">
        <f t="shared" ref="E27:E33" si="8">D27/B27</f>
        <v>8.6512261580381472E-2</v>
      </c>
    </row>
    <row r="28" spans="1:8" ht="14.5" customHeight="1" x14ac:dyDescent="0.25">
      <c r="A28" s="18">
        <v>44306</v>
      </c>
      <c r="B28" s="8">
        <v>370</v>
      </c>
      <c r="C28" s="34">
        <f t="shared" si="6"/>
        <v>383.25</v>
      </c>
      <c r="D28" s="34">
        <f t="shared" si="7"/>
        <v>13.25</v>
      </c>
      <c r="E28" s="35">
        <f t="shared" si="8"/>
        <v>3.5810810810810813E-2</v>
      </c>
    </row>
    <row r="29" spans="1:8" ht="13.9" customHeight="1" x14ac:dyDescent="0.25">
      <c r="A29" s="18">
        <v>44336</v>
      </c>
      <c r="B29" s="8">
        <v>437</v>
      </c>
      <c r="C29" s="34">
        <f t="shared" si="6"/>
        <v>387.75</v>
      </c>
      <c r="D29" s="34">
        <f t="shared" si="7"/>
        <v>49.25</v>
      </c>
      <c r="E29" s="35">
        <f t="shared" si="8"/>
        <v>0.11270022883295194</v>
      </c>
    </row>
    <row r="30" spans="1:8" x14ac:dyDescent="0.25">
      <c r="A30" s="18">
        <v>44367</v>
      </c>
      <c r="B30" s="8">
        <v>412</v>
      </c>
      <c r="C30" s="34">
        <f t="shared" si="6"/>
        <v>379</v>
      </c>
      <c r="D30" s="34">
        <f t="shared" si="7"/>
        <v>33</v>
      </c>
      <c r="E30" s="35">
        <f t="shared" si="8"/>
        <v>8.0097087378640783E-2</v>
      </c>
      <c r="G30" s="1"/>
      <c r="H30" s="1"/>
    </row>
    <row r="31" spans="1:8" x14ac:dyDescent="0.25">
      <c r="A31" s="18">
        <v>44397</v>
      </c>
      <c r="B31" s="8">
        <v>336</v>
      </c>
      <c r="C31" s="34">
        <f t="shared" si="6"/>
        <v>396.5</v>
      </c>
      <c r="D31" s="34">
        <f t="shared" si="7"/>
        <v>60.5</v>
      </c>
      <c r="E31" s="35">
        <f t="shared" si="8"/>
        <v>0.18005952380952381</v>
      </c>
    </row>
    <row r="32" spans="1:8" x14ac:dyDescent="0.25">
      <c r="A32" s="18">
        <v>44428</v>
      </c>
      <c r="B32" s="8">
        <v>388</v>
      </c>
      <c r="C32" s="34">
        <f t="shared" si="6"/>
        <v>388.75</v>
      </c>
      <c r="D32" s="34">
        <f t="shared" si="7"/>
        <v>0.75</v>
      </c>
      <c r="E32" s="35">
        <f t="shared" si="8"/>
        <v>1.9329896907216496E-3</v>
      </c>
    </row>
    <row r="33" spans="1:5" x14ac:dyDescent="0.25">
      <c r="A33" s="18">
        <v>44459</v>
      </c>
      <c r="B33" s="8">
        <v>344</v>
      </c>
      <c r="C33" s="34">
        <f t="shared" si="6"/>
        <v>393.25</v>
      </c>
      <c r="D33" s="34">
        <f t="shared" si="7"/>
        <v>49.25</v>
      </c>
      <c r="E33" s="35">
        <f t="shared" si="8"/>
        <v>0.1431686046511628</v>
      </c>
    </row>
    <row r="34" spans="1:5" x14ac:dyDescent="0.25">
      <c r="A34" s="18">
        <v>44489</v>
      </c>
      <c r="B34" s="37"/>
      <c r="C34" s="34">
        <f t="shared" si="6"/>
        <v>370</v>
      </c>
      <c r="D34" s="34"/>
      <c r="E34" s="35"/>
    </row>
    <row r="36" spans="1:5" x14ac:dyDescent="0.25">
      <c r="C36" s="42" t="s">
        <v>14</v>
      </c>
      <c r="D36" s="34">
        <f>AVERAGE(D26:D33)</f>
        <v>41.78125</v>
      </c>
      <c r="E36" s="8"/>
    </row>
    <row r="37" spans="1:5" x14ac:dyDescent="0.25">
      <c r="C37" s="42" t="s">
        <v>15</v>
      </c>
      <c r="D37" s="8"/>
      <c r="E37" s="43">
        <f>AVERAGE(E26:E33)</f>
        <v>0.11530565618053147</v>
      </c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706B-723D-42A2-8797-4570AA77DF17}">
  <dimension ref="A1:J27"/>
  <sheetViews>
    <sheetView showGridLines="0" zoomScale="89" zoomScaleNormal="100" workbookViewId="0">
      <selection activeCell="C5" sqref="C5"/>
    </sheetView>
  </sheetViews>
  <sheetFormatPr defaultRowHeight="12.5" x14ac:dyDescent="0.25"/>
  <cols>
    <col min="1" max="2" width="13" customWidth="1"/>
    <col min="3" max="3" width="18.81640625" bestFit="1" customWidth="1"/>
    <col min="4" max="4" width="17.7265625" customWidth="1"/>
    <col min="5" max="5" width="24.26953125" customWidth="1"/>
    <col min="6" max="6" width="14.26953125" bestFit="1" customWidth="1"/>
    <col min="7" max="8" width="14.81640625" bestFit="1" customWidth="1"/>
    <col min="9" max="254" width="13" customWidth="1"/>
  </cols>
  <sheetData>
    <row r="1" spans="1:5" s="17" customFormat="1" ht="25" x14ac:dyDescent="0.25">
      <c r="A1" s="5" t="s">
        <v>0</v>
      </c>
      <c r="B1" s="11" t="s">
        <v>2</v>
      </c>
      <c r="C1" s="11" t="s">
        <v>19</v>
      </c>
      <c r="D1" s="11" t="s">
        <v>12</v>
      </c>
      <c r="E1" s="32" t="s">
        <v>11</v>
      </c>
    </row>
    <row r="2" spans="1:5" x14ac:dyDescent="0.25">
      <c r="A2" s="18">
        <v>44124</v>
      </c>
      <c r="B2" s="40">
        <v>501</v>
      </c>
      <c r="C2" s="36"/>
      <c r="D2" s="8"/>
      <c r="E2" s="8"/>
    </row>
    <row r="3" spans="1:5" x14ac:dyDescent="0.25">
      <c r="A3" s="18">
        <v>44155</v>
      </c>
      <c r="B3" s="40">
        <v>429</v>
      </c>
      <c r="C3" s="36"/>
      <c r="D3" s="8"/>
      <c r="E3" s="8"/>
    </row>
    <row r="4" spans="1:5" x14ac:dyDescent="0.25">
      <c r="A4" s="18">
        <v>44185</v>
      </c>
      <c r="B4" s="40">
        <v>352</v>
      </c>
      <c r="C4" s="36"/>
      <c r="D4" s="8"/>
      <c r="E4" s="8"/>
    </row>
    <row r="5" spans="1:5" x14ac:dyDescent="0.25">
      <c r="A5" s="18">
        <v>44216</v>
      </c>
      <c r="B5" s="40">
        <v>472</v>
      </c>
      <c r="C5" s="34">
        <f>((B4*5)+(B3*3)+(B2*1))/(5+3+1)</f>
        <v>394.22222222222223</v>
      </c>
      <c r="D5" s="34">
        <f>ABS(B5-C5)</f>
        <v>77.777777777777771</v>
      </c>
      <c r="E5" s="34">
        <f>ABS((B5-C5)/B5)</f>
        <v>0.1647834274952919</v>
      </c>
    </row>
    <row r="6" spans="1:5" x14ac:dyDescent="0.25">
      <c r="A6" s="18">
        <v>44247</v>
      </c>
      <c r="B6" s="40">
        <v>342</v>
      </c>
      <c r="C6" s="34">
        <f t="shared" ref="C6:C14" si="0">((B5*5)+(B4*3)+(B3*1))/(5+3+1)</f>
        <v>427.22222222222223</v>
      </c>
      <c r="D6" s="34">
        <f t="shared" ref="D6:D13" si="1">ABS(B6-C6)</f>
        <v>85.222222222222229</v>
      </c>
      <c r="E6" s="34">
        <f t="shared" ref="E6:E13" si="2">ABS((B6-C6)/B6)</f>
        <v>0.24918778427550359</v>
      </c>
    </row>
    <row r="7" spans="1:5" x14ac:dyDescent="0.25">
      <c r="A7" s="18">
        <v>44275</v>
      </c>
      <c r="B7" s="40">
        <v>367</v>
      </c>
      <c r="C7" s="34">
        <f t="shared" si="0"/>
        <v>386.44444444444446</v>
      </c>
      <c r="D7" s="34">
        <f t="shared" si="1"/>
        <v>19.444444444444457</v>
      </c>
      <c r="E7" s="34">
        <f t="shared" si="2"/>
        <v>5.2982137450802338E-2</v>
      </c>
    </row>
    <row r="8" spans="1:5" x14ac:dyDescent="0.25">
      <c r="A8" s="18">
        <v>44306</v>
      </c>
      <c r="B8" s="40">
        <v>370</v>
      </c>
      <c r="C8" s="34">
        <f t="shared" si="0"/>
        <v>370.33333333333331</v>
      </c>
      <c r="D8" s="34">
        <f t="shared" si="1"/>
        <v>0.33333333333331439</v>
      </c>
      <c r="E8" s="34">
        <f t="shared" si="2"/>
        <v>9.0090090090084974E-4</v>
      </c>
    </row>
    <row r="9" spans="1:5" x14ac:dyDescent="0.25">
      <c r="A9" s="18">
        <v>44336</v>
      </c>
      <c r="B9" s="40">
        <v>437</v>
      </c>
      <c r="C9" s="34">
        <f t="shared" si="0"/>
        <v>365.88888888888891</v>
      </c>
      <c r="D9" s="34">
        <f t="shared" si="1"/>
        <v>71.111111111111086</v>
      </c>
      <c r="E9" s="34">
        <f t="shared" si="2"/>
        <v>0.16272565471650133</v>
      </c>
    </row>
    <row r="10" spans="1:5" x14ac:dyDescent="0.25">
      <c r="A10" s="18">
        <v>44367</v>
      </c>
      <c r="B10" s="40">
        <v>412</v>
      </c>
      <c r="C10" s="34">
        <f t="shared" si="0"/>
        <v>406.88888888888891</v>
      </c>
      <c r="D10" s="34">
        <f t="shared" si="1"/>
        <v>5.1111111111110858</v>
      </c>
      <c r="E10" s="34">
        <f t="shared" si="2"/>
        <v>1.2405609492988072E-2</v>
      </c>
    </row>
    <row r="11" spans="1:5" x14ac:dyDescent="0.25">
      <c r="A11" s="18">
        <v>44397</v>
      </c>
      <c r="B11" s="40">
        <v>336</v>
      </c>
      <c r="C11" s="34">
        <f t="shared" si="0"/>
        <v>415.66666666666669</v>
      </c>
      <c r="D11" s="34">
        <f t="shared" si="1"/>
        <v>79.666666666666686</v>
      </c>
      <c r="E11" s="34">
        <f t="shared" si="2"/>
        <v>0.23710317460317465</v>
      </c>
    </row>
    <row r="12" spans="1:5" x14ac:dyDescent="0.25">
      <c r="A12" s="18">
        <v>44428</v>
      </c>
      <c r="B12" s="40">
        <v>388</v>
      </c>
      <c r="C12" s="34">
        <f t="shared" si="0"/>
        <v>372.55555555555554</v>
      </c>
      <c r="D12" s="34">
        <f t="shared" si="1"/>
        <v>15.444444444444457</v>
      </c>
      <c r="E12" s="34">
        <f t="shared" si="2"/>
        <v>3.9805269186712518E-2</v>
      </c>
    </row>
    <row r="13" spans="1:5" x14ac:dyDescent="0.25">
      <c r="A13" s="18">
        <v>44459</v>
      </c>
      <c r="B13" s="40">
        <v>344</v>
      </c>
      <c r="C13" s="34">
        <f t="shared" si="0"/>
        <v>373.33333333333331</v>
      </c>
      <c r="D13" s="34">
        <f t="shared" si="1"/>
        <v>29.333333333333314</v>
      </c>
      <c r="E13" s="34">
        <f t="shared" si="2"/>
        <v>8.5271317829457308E-2</v>
      </c>
    </row>
    <row r="14" spans="1:5" x14ac:dyDescent="0.25">
      <c r="A14" s="18">
        <v>44489</v>
      </c>
      <c r="B14" s="10"/>
      <c r="C14" s="34">
        <f t="shared" si="0"/>
        <v>357.77777777777777</v>
      </c>
      <c r="D14" s="34"/>
      <c r="E14" s="34"/>
    </row>
    <row r="15" spans="1:5" x14ac:dyDescent="0.25">
      <c r="A15" s="9"/>
      <c r="B15" s="10"/>
    </row>
    <row r="16" spans="1:5" x14ac:dyDescent="0.25">
      <c r="C16" s="8" t="s">
        <v>14</v>
      </c>
      <c r="D16" s="34">
        <f>AVERAGE(D5:D13)</f>
        <v>42.604938271604937</v>
      </c>
      <c r="E16" s="8"/>
    </row>
    <row r="17" spans="1:10" ht="13" x14ac:dyDescent="0.3">
      <c r="A17" s="1"/>
      <c r="B17" s="4"/>
      <c r="C17" s="8" t="s">
        <v>15</v>
      </c>
      <c r="D17" s="41"/>
      <c r="E17" s="35">
        <f>AVERAGE(E5:E13)</f>
        <v>0.11168503066125918</v>
      </c>
      <c r="F17" s="16"/>
      <c r="G17" s="16"/>
      <c r="H17" s="16"/>
      <c r="I17" s="14"/>
    </row>
    <row r="18" spans="1:10" x14ac:dyDescent="0.25">
      <c r="A18" s="1"/>
      <c r="B18" s="4"/>
      <c r="E18" s="3"/>
      <c r="F18" s="3"/>
      <c r="G18" s="3"/>
      <c r="H18" s="3"/>
    </row>
    <row r="19" spans="1:10" x14ac:dyDescent="0.25">
      <c r="D19" s="2"/>
      <c r="E19" s="13"/>
      <c r="F19" s="13"/>
      <c r="G19" s="13"/>
      <c r="H19" s="13"/>
    </row>
    <row r="22" spans="1:10" ht="13.5" customHeight="1" x14ac:dyDescent="0.25"/>
    <row r="23" spans="1:10" ht="14.5" customHeight="1" x14ac:dyDescent="0.25">
      <c r="C23" s="1"/>
    </row>
    <row r="24" spans="1:10" ht="13.9" customHeight="1" x14ac:dyDescent="0.25"/>
    <row r="25" spans="1:10" ht="14.5" customHeight="1" x14ac:dyDescent="0.25"/>
    <row r="26" spans="1:10" ht="13.9" customHeight="1" x14ac:dyDescent="0.25"/>
    <row r="27" spans="1:10" x14ac:dyDescent="0.25">
      <c r="I27" s="1"/>
      <c r="J27" s="1"/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showGridLines="0" topLeftCell="A8" zoomScale="81" zoomScaleNormal="100" workbookViewId="0">
      <selection activeCell="C21" sqref="C21"/>
    </sheetView>
  </sheetViews>
  <sheetFormatPr defaultColWidth="9.1796875" defaultRowHeight="12.5" x14ac:dyDescent="0.25"/>
  <cols>
    <col min="1" max="1" width="12.7265625" customWidth="1"/>
    <col min="2" max="2" width="13.26953125" customWidth="1"/>
    <col min="3" max="3" width="15.81640625" customWidth="1"/>
    <col min="4" max="4" width="21.81640625" customWidth="1"/>
    <col min="5" max="5" width="23.54296875" customWidth="1"/>
    <col min="6" max="256" width="12.54296875" customWidth="1"/>
  </cols>
  <sheetData>
    <row r="1" spans="1:5" ht="25" x14ac:dyDescent="0.25">
      <c r="A1" s="5" t="s">
        <v>0</v>
      </c>
      <c r="B1" s="6" t="s">
        <v>2</v>
      </c>
      <c r="C1" s="11" t="s">
        <v>20</v>
      </c>
      <c r="D1" s="11" t="s">
        <v>12</v>
      </c>
      <c r="E1" s="32" t="s">
        <v>11</v>
      </c>
    </row>
    <row r="2" spans="1:5" x14ac:dyDescent="0.25">
      <c r="A2" s="7">
        <v>44124</v>
      </c>
      <c r="B2" s="8">
        <v>501</v>
      </c>
      <c r="C2" s="34">
        <f>AVERAGE(B2:B6)</f>
        <v>419.2</v>
      </c>
      <c r="D2" s="34">
        <f>ABS(B2-C2)</f>
        <v>81.800000000000011</v>
      </c>
      <c r="E2" s="34">
        <f>ABS((B2-C2)/B2)</f>
        <v>0.16327345309381239</v>
      </c>
    </row>
    <row r="3" spans="1:5" x14ac:dyDescent="0.25">
      <c r="A3" s="7">
        <v>44155</v>
      </c>
      <c r="B3" s="8">
        <v>429</v>
      </c>
      <c r="C3" s="8">
        <f>(0.2*B2)+(1-0.2)*C2</f>
        <v>435.56</v>
      </c>
      <c r="D3" s="34">
        <f t="shared" ref="D3:D13" si="0">ABS(B3-C3)</f>
        <v>6.5600000000000023</v>
      </c>
      <c r="E3" s="34">
        <f t="shared" ref="E3:E13" si="1">ABS((B3-C3)/B3)</f>
        <v>1.5291375291375297E-2</v>
      </c>
    </row>
    <row r="4" spans="1:5" x14ac:dyDescent="0.25">
      <c r="A4" s="7">
        <v>44185</v>
      </c>
      <c r="B4" s="8">
        <v>352</v>
      </c>
      <c r="C4" s="34">
        <f>(0.2*B3)+(1-0.2)*C3</f>
        <v>434.24800000000005</v>
      </c>
      <c r="D4" s="34">
        <f t="shared" si="0"/>
        <v>82.248000000000047</v>
      </c>
      <c r="E4" s="34">
        <f t="shared" si="1"/>
        <v>0.23365909090909104</v>
      </c>
    </row>
    <row r="5" spans="1:5" x14ac:dyDescent="0.25">
      <c r="A5" s="7">
        <v>44216</v>
      </c>
      <c r="B5" s="8">
        <v>472</v>
      </c>
      <c r="C5" s="34">
        <f>(0.2*B4)+(1-0.2)*C4</f>
        <v>417.79840000000002</v>
      </c>
      <c r="D5" s="34">
        <f t="shared" si="0"/>
        <v>54.201599999999985</v>
      </c>
      <c r="E5" s="34">
        <f t="shared" si="1"/>
        <v>0.11483389830508471</v>
      </c>
    </row>
    <row r="6" spans="1:5" x14ac:dyDescent="0.25">
      <c r="A6" s="7">
        <v>44247</v>
      </c>
      <c r="B6" s="8">
        <v>342</v>
      </c>
      <c r="C6" s="34">
        <f t="shared" ref="C6:C14" si="2">(0.2*B5)+(1-0.2)*C5</f>
        <v>428.63872000000003</v>
      </c>
      <c r="D6" s="34">
        <f t="shared" si="0"/>
        <v>86.638720000000035</v>
      </c>
      <c r="E6" s="34">
        <f t="shared" si="1"/>
        <v>0.25332959064327498</v>
      </c>
    </row>
    <row r="7" spans="1:5" x14ac:dyDescent="0.25">
      <c r="A7" s="7">
        <v>44275</v>
      </c>
      <c r="B7" s="8">
        <v>367</v>
      </c>
      <c r="C7" s="34">
        <f t="shared" si="2"/>
        <v>411.3109760000001</v>
      </c>
      <c r="D7" s="34">
        <f t="shared" si="0"/>
        <v>44.310976000000096</v>
      </c>
      <c r="E7" s="34">
        <f t="shared" si="1"/>
        <v>0.1207383542234335</v>
      </c>
    </row>
    <row r="8" spans="1:5" x14ac:dyDescent="0.25">
      <c r="A8" s="7">
        <v>44306</v>
      </c>
      <c r="B8" s="8">
        <v>370</v>
      </c>
      <c r="C8" s="34">
        <f t="shared" si="2"/>
        <v>402.44878080000012</v>
      </c>
      <c r="D8" s="34">
        <f t="shared" si="0"/>
        <v>32.448780800000122</v>
      </c>
      <c r="E8" s="34">
        <f t="shared" si="1"/>
        <v>8.7699407567567902E-2</v>
      </c>
    </row>
    <row r="9" spans="1:5" x14ac:dyDescent="0.25">
      <c r="A9" s="7">
        <v>44336</v>
      </c>
      <c r="B9" s="8">
        <v>437</v>
      </c>
      <c r="C9" s="34">
        <f t="shared" si="2"/>
        <v>395.95902464000011</v>
      </c>
      <c r="D9" s="34">
        <f t="shared" si="0"/>
        <v>41.040975359999891</v>
      </c>
      <c r="E9" s="34">
        <f t="shared" si="1"/>
        <v>9.3915275423340716E-2</v>
      </c>
    </row>
    <row r="10" spans="1:5" x14ac:dyDescent="0.25">
      <c r="A10" s="7">
        <v>44367</v>
      </c>
      <c r="B10" s="8">
        <v>412</v>
      </c>
      <c r="C10" s="34">
        <f t="shared" si="2"/>
        <v>404.16721971200013</v>
      </c>
      <c r="D10" s="34">
        <f t="shared" si="0"/>
        <v>7.8327802879998671</v>
      </c>
      <c r="E10" s="34">
        <f t="shared" si="1"/>
        <v>1.9011602640776375E-2</v>
      </c>
    </row>
    <row r="11" spans="1:5" x14ac:dyDescent="0.25">
      <c r="A11" s="7">
        <v>44397</v>
      </c>
      <c r="B11" s="8">
        <v>336</v>
      </c>
      <c r="C11" s="34">
        <f t="shared" si="2"/>
        <v>405.73377576960013</v>
      </c>
      <c r="D11" s="34">
        <f t="shared" si="0"/>
        <v>69.733775769600129</v>
      </c>
      <c r="E11" s="34">
        <f t="shared" si="1"/>
        <v>0.2075409993142861</v>
      </c>
    </row>
    <row r="12" spans="1:5" x14ac:dyDescent="0.25">
      <c r="A12" s="7">
        <v>44428</v>
      </c>
      <c r="B12" s="8">
        <v>388</v>
      </c>
      <c r="C12" s="34">
        <f t="shared" si="2"/>
        <v>391.78702061568009</v>
      </c>
      <c r="D12" s="34">
        <f t="shared" si="0"/>
        <v>3.7870206156800919</v>
      </c>
      <c r="E12" s="34">
        <f t="shared" si="1"/>
        <v>9.7603624115466282E-3</v>
      </c>
    </row>
    <row r="13" spans="1:5" x14ac:dyDescent="0.25">
      <c r="A13" s="7">
        <v>44459</v>
      </c>
      <c r="B13" s="8">
        <v>344</v>
      </c>
      <c r="C13" s="45">
        <f t="shared" si="2"/>
        <v>391.02961649254411</v>
      </c>
      <c r="D13" s="45">
        <f t="shared" si="0"/>
        <v>47.029616492544108</v>
      </c>
      <c r="E13" s="45">
        <f t="shared" si="1"/>
        <v>0.13671400143181425</v>
      </c>
    </row>
    <row r="14" spans="1:5" x14ac:dyDescent="0.25">
      <c r="A14" s="7">
        <v>44489</v>
      </c>
      <c r="C14" s="34">
        <f t="shared" si="2"/>
        <v>381.6236931940353</v>
      </c>
      <c r="D14" s="34"/>
      <c r="E14" s="34"/>
    </row>
    <row r="15" spans="1:5" x14ac:dyDescent="0.25">
      <c r="A15" s="49"/>
      <c r="C15" s="47"/>
      <c r="D15" s="47"/>
      <c r="E15" s="47"/>
    </row>
    <row r="16" spans="1:5" x14ac:dyDescent="0.25">
      <c r="C16" s="8" t="s">
        <v>14</v>
      </c>
      <c r="D16" s="34">
        <f>AVERAGE(D2:D13)</f>
        <v>46.469353777152037</v>
      </c>
      <c r="E16" s="8"/>
    </row>
    <row r="17" spans="1:8" x14ac:dyDescent="0.25">
      <c r="C17" s="46" t="s">
        <v>15</v>
      </c>
      <c r="D17" s="46"/>
      <c r="E17" s="48">
        <f>AVERAGE(E2:E13)</f>
        <v>0.12131395093795029</v>
      </c>
    </row>
    <row r="19" spans="1:8" ht="25" x14ac:dyDescent="0.25">
      <c r="A19" s="5" t="s">
        <v>0</v>
      </c>
      <c r="B19" s="6" t="s">
        <v>2</v>
      </c>
      <c r="C19" s="11" t="s">
        <v>21</v>
      </c>
      <c r="D19" s="11" t="s">
        <v>12</v>
      </c>
      <c r="E19" s="32" t="s">
        <v>11</v>
      </c>
    </row>
    <row r="20" spans="1:8" ht="13" x14ac:dyDescent="0.25">
      <c r="A20" s="7">
        <v>44124</v>
      </c>
      <c r="B20" s="8">
        <v>501</v>
      </c>
      <c r="C20" s="34">
        <f>AVERAGE(B20:B24)</f>
        <v>419.2</v>
      </c>
      <c r="D20" s="34">
        <f>ABS(B20-C20)</f>
        <v>81.800000000000011</v>
      </c>
      <c r="E20" s="34">
        <f>ABS((B20-C20)/B20)</f>
        <v>0.16327345309381239</v>
      </c>
      <c r="F20" s="15"/>
      <c r="G20" s="15"/>
      <c r="H20" s="15"/>
    </row>
    <row r="21" spans="1:8" x14ac:dyDescent="0.25">
      <c r="A21" s="7">
        <v>44155</v>
      </c>
      <c r="B21" s="8">
        <v>429</v>
      </c>
      <c r="C21" s="8">
        <f>(0.7*B20)+(1-0.7)*C20</f>
        <v>476.46000000000004</v>
      </c>
      <c r="D21" s="34">
        <f t="shared" ref="D21:D31" si="3">ABS(B21-C21)</f>
        <v>47.460000000000036</v>
      </c>
      <c r="E21" s="34">
        <f t="shared" ref="E21:E31" si="4">ABS((B21-C21)/B21)</f>
        <v>0.11062937062937071</v>
      </c>
      <c r="F21" s="12"/>
      <c r="G21" s="12"/>
      <c r="H21" s="12"/>
    </row>
    <row r="22" spans="1:8" x14ac:dyDescent="0.25">
      <c r="A22" s="7">
        <v>44185</v>
      </c>
      <c r="B22" s="8">
        <v>352</v>
      </c>
      <c r="C22" s="34">
        <f>(0.7*B21)+(1-0.7)*C21</f>
        <v>443.238</v>
      </c>
      <c r="D22" s="34">
        <f t="shared" si="3"/>
        <v>91.238</v>
      </c>
      <c r="E22" s="34">
        <f t="shared" si="4"/>
        <v>0.25919886363636363</v>
      </c>
    </row>
    <row r="23" spans="1:8" x14ac:dyDescent="0.25">
      <c r="A23" s="7">
        <v>44216</v>
      </c>
      <c r="B23" s="8">
        <v>472</v>
      </c>
      <c r="C23" s="34">
        <f t="shared" ref="C23:C31" si="5">(0.7*B22)+(1-0.7)*C22</f>
        <v>379.37139999999999</v>
      </c>
      <c r="D23" s="34">
        <f t="shared" si="3"/>
        <v>92.628600000000006</v>
      </c>
      <c r="E23" s="34">
        <f t="shared" si="4"/>
        <v>0.19624703389830508</v>
      </c>
    </row>
    <row r="24" spans="1:8" x14ac:dyDescent="0.25">
      <c r="A24" s="7">
        <v>44247</v>
      </c>
      <c r="B24" s="8">
        <v>342</v>
      </c>
      <c r="C24" s="34">
        <f t="shared" si="5"/>
        <v>444.21141999999998</v>
      </c>
      <c r="D24" s="34">
        <f t="shared" si="3"/>
        <v>102.21141999999998</v>
      </c>
      <c r="E24" s="34">
        <f t="shared" si="4"/>
        <v>0.29886380116959055</v>
      </c>
    </row>
    <row r="25" spans="1:8" x14ac:dyDescent="0.25">
      <c r="A25" s="7">
        <v>44275</v>
      </c>
      <c r="B25" s="8">
        <v>367</v>
      </c>
      <c r="C25" s="34">
        <f t="shared" si="5"/>
        <v>372.66342599999996</v>
      </c>
      <c r="D25" s="34">
        <f t="shared" si="3"/>
        <v>5.6634259999999585</v>
      </c>
      <c r="E25" s="34">
        <f t="shared" si="4"/>
        <v>1.5431678474114328E-2</v>
      </c>
    </row>
    <row r="26" spans="1:8" x14ac:dyDescent="0.25">
      <c r="A26" s="7">
        <v>44306</v>
      </c>
      <c r="B26" s="8">
        <v>370</v>
      </c>
      <c r="C26" s="34">
        <f t="shared" si="5"/>
        <v>368.69902779999995</v>
      </c>
      <c r="D26" s="34">
        <f t="shared" si="3"/>
        <v>1.3009722000000465</v>
      </c>
      <c r="E26" s="34">
        <f t="shared" si="4"/>
        <v>3.5161410810812068E-3</v>
      </c>
    </row>
    <row r="27" spans="1:8" x14ac:dyDescent="0.25">
      <c r="A27" s="7">
        <v>44336</v>
      </c>
      <c r="B27" s="8">
        <v>437</v>
      </c>
      <c r="C27" s="34">
        <f t="shared" si="5"/>
        <v>369.60970834</v>
      </c>
      <c r="D27" s="34">
        <f t="shared" si="3"/>
        <v>67.390291660000003</v>
      </c>
      <c r="E27" s="34">
        <f t="shared" si="4"/>
        <v>0.15421119372997713</v>
      </c>
    </row>
    <row r="28" spans="1:8" x14ac:dyDescent="0.25">
      <c r="A28" s="7">
        <v>44367</v>
      </c>
      <c r="B28" s="8">
        <v>412</v>
      </c>
      <c r="C28" s="34">
        <f t="shared" si="5"/>
        <v>416.78291250199999</v>
      </c>
      <c r="D28" s="34">
        <f t="shared" si="3"/>
        <v>4.7829125019999879</v>
      </c>
      <c r="E28" s="34">
        <f t="shared" si="4"/>
        <v>1.1609010927184436E-2</v>
      </c>
    </row>
    <row r="29" spans="1:8" x14ac:dyDescent="0.25">
      <c r="A29" s="7">
        <v>44397</v>
      </c>
      <c r="B29" s="8">
        <v>336</v>
      </c>
      <c r="C29" s="34">
        <f t="shared" si="5"/>
        <v>413.43487375059999</v>
      </c>
      <c r="D29" s="34">
        <f t="shared" si="3"/>
        <v>77.434873750599991</v>
      </c>
      <c r="E29" s="34">
        <f t="shared" si="4"/>
        <v>0.23046093378154758</v>
      </c>
    </row>
    <row r="30" spans="1:8" x14ac:dyDescent="0.25">
      <c r="A30" s="7">
        <v>44428</v>
      </c>
      <c r="B30" s="8">
        <v>388</v>
      </c>
      <c r="C30" s="34">
        <f t="shared" si="5"/>
        <v>359.23046212518</v>
      </c>
      <c r="D30" s="34">
        <f t="shared" si="3"/>
        <v>28.769537874820003</v>
      </c>
      <c r="E30" s="34">
        <f t="shared" si="4"/>
        <v>7.4148293491804129E-2</v>
      </c>
    </row>
    <row r="31" spans="1:8" x14ac:dyDescent="0.25">
      <c r="A31" s="7">
        <v>44459</v>
      </c>
      <c r="B31" s="8">
        <v>344</v>
      </c>
      <c r="C31" s="45">
        <f t="shared" si="5"/>
        <v>379.36913863755399</v>
      </c>
      <c r="D31" s="45">
        <f t="shared" si="3"/>
        <v>35.369138637553988</v>
      </c>
      <c r="E31" s="45">
        <f t="shared" si="4"/>
        <v>0.10281726348126159</v>
      </c>
    </row>
    <row r="32" spans="1:8" x14ac:dyDescent="0.25">
      <c r="A32" s="7">
        <v>44489</v>
      </c>
      <c r="C32" s="34">
        <f>(0.7*B31)+(1-0.7)*C31</f>
        <v>354.61074159126622</v>
      </c>
      <c r="D32" s="34"/>
      <c r="E32" s="34"/>
    </row>
    <row r="33" spans="1:5" x14ac:dyDescent="0.25">
      <c r="A33" s="49"/>
      <c r="C33" s="47"/>
      <c r="D33" s="47"/>
      <c r="E33" s="47"/>
    </row>
    <row r="34" spans="1:5" x14ac:dyDescent="0.25">
      <c r="C34" s="8" t="s">
        <v>14</v>
      </c>
      <c r="D34" s="34">
        <f>AVERAGE(D20:D31)</f>
        <v>53.004097718747829</v>
      </c>
      <c r="E34" s="8"/>
    </row>
    <row r="35" spans="1:5" x14ac:dyDescent="0.25">
      <c r="C35" s="46" t="s">
        <v>15</v>
      </c>
      <c r="D35" s="46"/>
      <c r="E35" s="48">
        <f>AVERAGE(E20:E31)</f>
        <v>0.13503391978286772</v>
      </c>
    </row>
  </sheetData>
  <pageMargins left="0.7" right="0.7" top="0.75" bottom="0.75" header="0.3" footer="0.3"/>
  <pageSetup orientation="portrait" r:id="rId1"/>
  <headerFooter>
    <oddHeader>&amp;C&amp;"Calibri"&amp;10&amp;K000000OFFICIAL (CLOSED) \ NON-SENSITIVE&amp;1#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4AC2-3024-4CAF-A11D-6BEA92C6FAAB}">
  <dimension ref="A1:E15"/>
  <sheetViews>
    <sheetView showGridLines="0" zoomScale="83" workbookViewId="0">
      <selection activeCell="D19" sqref="D19"/>
    </sheetView>
  </sheetViews>
  <sheetFormatPr defaultRowHeight="12.5" x14ac:dyDescent="0.25"/>
  <cols>
    <col min="1" max="1" width="13.6328125" customWidth="1"/>
    <col min="2" max="2" width="12.6328125" customWidth="1"/>
    <col min="3" max="3" width="14.453125" customWidth="1"/>
    <col min="4" max="4" width="17.36328125" customWidth="1"/>
    <col min="5" max="5" width="22.36328125" customWidth="1"/>
  </cols>
  <sheetData>
    <row r="1" spans="1:5" ht="25" x14ac:dyDescent="0.25">
      <c r="A1" s="5" t="s">
        <v>0</v>
      </c>
      <c r="B1" s="11" t="s">
        <v>2</v>
      </c>
      <c r="C1" s="11" t="s">
        <v>22</v>
      </c>
      <c r="D1" s="11" t="s">
        <v>23</v>
      </c>
      <c r="E1" s="11" t="s">
        <v>24</v>
      </c>
    </row>
    <row r="2" spans="1:5" x14ac:dyDescent="0.25">
      <c r="A2" s="31">
        <v>44124</v>
      </c>
      <c r="B2" s="5">
        <v>446</v>
      </c>
      <c r="C2" s="39"/>
      <c r="D2" s="34"/>
      <c r="E2" s="34">
        <f>AVERAGE(B2:B6)</f>
        <v>607.20000000000005</v>
      </c>
    </row>
    <row r="3" spans="1:5" x14ac:dyDescent="0.25">
      <c r="A3" s="31">
        <v>44155</v>
      </c>
      <c r="B3" s="5">
        <v>517</v>
      </c>
      <c r="C3" s="36"/>
      <c r="D3" s="34"/>
      <c r="E3" s="34">
        <f>(0.2*B2)+(1-0.2)*E2</f>
        <v>574.96</v>
      </c>
    </row>
    <row r="4" spans="1:5" x14ac:dyDescent="0.25">
      <c r="A4" s="31">
        <v>44185</v>
      </c>
      <c r="B4" s="5">
        <v>604</v>
      </c>
      <c r="C4" s="39"/>
      <c r="D4" s="34"/>
      <c r="E4" s="34">
        <f t="shared" ref="E4:E14" si="0">(0.2*B3)+(1-0.2)*E3</f>
        <v>563.36800000000005</v>
      </c>
    </row>
    <row r="5" spans="1:5" x14ac:dyDescent="0.25">
      <c r="A5" s="31">
        <v>44216</v>
      </c>
      <c r="B5" s="5">
        <v>697</v>
      </c>
      <c r="C5" s="34">
        <f>(B2+B3+B4)/3</f>
        <v>522.33333333333337</v>
      </c>
      <c r="D5" s="34">
        <f>((B4*5)+(B3*3)+(B2*1))/(5+3+1)</f>
        <v>557.44444444444446</v>
      </c>
      <c r="E5" s="34">
        <f t="shared" si="0"/>
        <v>571.49440000000004</v>
      </c>
    </row>
    <row r="6" spans="1:5" x14ac:dyDescent="0.25">
      <c r="A6" s="31">
        <v>44247</v>
      </c>
      <c r="B6" s="5">
        <v>772</v>
      </c>
      <c r="C6" s="34">
        <f t="shared" ref="C6:C14" si="1">(B3+B4+B5)/3</f>
        <v>606</v>
      </c>
      <c r="D6" s="34">
        <f t="shared" ref="D6:D13" si="2">((B5*5)+(B4*3)+(B3*1))/(5+3+1)</f>
        <v>646</v>
      </c>
      <c r="E6" s="34">
        <f t="shared" si="0"/>
        <v>596.59552000000008</v>
      </c>
    </row>
    <row r="7" spans="1:5" x14ac:dyDescent="0.25">
      <c r="A7" s="31">
        <v>44275</v>
      </c>
      <c r="B7" s="5">
        <v>876</v>
      </c>
      <c r="C7" s="34">
        <f t="shared" si="1"/>
        <v>691</v>
      </c>
      <c r="D7" s="34">
        <f t="shared" si="2"/>
        <v>728.33333333333337</v>
      </c>
      <c r="E7" s="34">
        <f t="shared" si="0"/>
        <v>631.67641600000013</v>
      </c>
    </row>
    <row r="8" spans="1:5" x14ac:dyDescent="0.25">
      <c r="A8" s="31">
        <v>44306</v>
      </c>
      <c r="B8" s="5">
        <v>931</v>
      </c>
      <c r="C8" s="34">
        <f t="shared" si="1"/>
        <v>781.66666666666663</v>
      </c>
      <c r="D8" s="34">
        <f t="shared" si="2"/>
        <v>821.44444444444446</v>
      </c>
      <c r="E8" s="34">
        <f t="shared" si="0"/>
        <v>680.54113280000013</v>
      </c>
    </row>
    <row r="9" spans="1:5" x14ac:dyDescent="0.25">
      <c r="A9" s="31">
        <v>44336</v>
      </c>
      <c r="B9" s="5">
        <v>1017</v>
      </c>
      <c r="C9" s="34">
        <f t="shared" si="1"/>
        <v>859.66666666666663</v>
      </c>
      <c r="D9" s="34">
        <f t="shared" si="2"/>
        <v>895</v>
      </c>
      <c r="E9" s="34">
        <f t="shared" si="0"/>
        <v>730.63290624000012</v>
      </c>
    </row>
    <row r="10" spans="1:5" x14ac:dyDescent="0.25">
      <c r="A10" s="31">
        <v>44367</v>
      </c>
      <c r="B10" s="5">
        <v>1103</v>
      </c>
      <c r="C10" s="34">
        <f t="shared" si="1"/>
        <v>941.33333333333337</v>
      </c>
      <c r="D10" s="34">
        <f t="shared" si="2"/>
        <v>972.66666666666663</v>
      </c>
      <c r="E10" s="34">
        <f t="shared" si="0"/>
        <v>787.90632499200012</v>
      </c>
    </row>
    <row r="11" spans="1:5" x14ac:dyDescent="0.25">
      <c r="A11" s="31">
        <v>44397</v>
      </c>
      <c r="B11" s="5">
        <v>1296</v>
      </c>
      <c r="C11" s="34">
        <f t="shared" si="1"/>
        <v>1017</v>
      </c>
      <c r="D11" s="34">
        <f t="shared" si="2"/>
        <v>1055.2222222222222</v>
      </c>
      <c r="E11" s="34">
        <f t="shared" si="0"/>
        <v>850.92505999360014</v>
      </c>
    </row>
    <row r="12" spans="1:5" x14ac:dyDescent="0.25">
      <c r="A12" s="31">
        <v>44428</v>
      </c>
      <c r="B12" s="5">
        <v>1535</v>
      </c>
      <c r="C12" s="34">
        <f t="shared" si="1"/>
        <v>1138.6666666666667</v>
      </c>
      <c r="D12" s="34">
        <f t="shared" si="2"/>
        <v>1200.6666666666667</v>
      </c>
      <c r="E12" s="34">
        <f t="shared" si="0"/>
        <v>939.94004799488016</v>
      </c>
    </row>
    <row r="13" spans="1:5" x14ac:dyDescent="0.25">
      <c r="A13" s="31">
        <v>44459</v>
      </c>
      <c r="B13" s="5">
        <v>1700</v>
      </c>
      <c r="C13" s="45">
        <f t="shared" si="1"/>
        <v>1311.3333333333333</v>
      </c>
      <c r="D13" s="45">
        <f t="shared" si="2"/>
        <v>1407.3333333333333</v>
      </c>
      <c r="E13" s="45">
        <f t="shared" si="0"/>
        <v>1058.9520383959043</v>
      </c>
    </row>
    <row r="14" spans="1:5" x14ac:dyDescent="0.25">
      <c r="A14" s="31">
        <v>44489</v>
      </c>
      <c r="C14" s="34">
        <f t="shared" si="1"/>
        <v>1510.3333333333333</v>
      </c>
      <c r="D14" s="34">
        <f>((B13*5)+(B12*3)+(B11*1))/(5+3+1)</f>
        <v>1600.1111111111111</v>
      </c>
      <c r="E14" s="34">
        <f t="shared" si="0"/>
        <v>1187.1616307167235</v>
      </c>
    </row>
    <row r="15" spans="1:5" x14ac:dyDescent="0.25">
      <c r="A15" s="44"/>
      <c r="C15" s="47"/>
      <c r="D15" s="47"/>
      <c r="E15" s="4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E562-77C5-4098-8BAB-1E88ADF403B9}">
  <dimension ref="A1:G36"/>
  <sheetViews>
    <sheetView showGridLines="0" zoomScale="55" workbookViewId="0">
      <selection activeCell="C16" sqref="C16"/>
    </sheetView>
  </sheetViews>
  <sheetFormatPr defaultRowHeight="12.5" x14ac:dyDescent="0.25"/>
  <cols>
    <col min="1" max="1" width="20" bestFit="1" customWidth="1"/>
    <col min="2" max="2" width="21.08984375" customWidth="1"/>
    <col min="3" max="3" width="25.453125" customWidth="1"/>
    <col min="4" max="4" width="10.36328125" bestFit="1" customWidth="1"/>
    <col min="6" max="7" width="12.36328125" bestFit="1" customWidth="1"/>
  </cols>
  <sheetData>
    <row r="1" spans="1:7" ht="14.5" thickBot="1" x14ac:dyDescent="0.35">
      <c r="A1" s="19" t="s">
        <v>3</v>
      </c>
      <c r="B1" s="19" t="s">
        <v>4</v>
      </c>
    </row>
    <row r="2" spans="1:7" ht="15" thickTop="1" thickBot="1" x14ac:dyDescent="0.35">
      <c r="A2" s="20">
        <v>81048</v>
      </c>
      <c r="B2" s="21">
        <v>9927</v>
      </c>
    </row>
    <row r="3" spans="1:7" ht="14.5" thickBot="1" x14ac:dyDescent="0.35">
      <c r="A3" s="22">
        <v>72248</v>
      </c>
      <c r="B3" s="23">
        <v>34947</v>
      </c>
    </row>
    <row r="4" spans="1:7" ht="14.5" thickBot="1" x14ac:dyDescent="0.35">
      <c r="A4" s="24">
        <v>64258</v>
      </c>
      <c r="B4" s="25">
        <v>52178</v>
      </c>
    </row>
    <row r="5" spans="1:7" ht="14.5" thickBot="1" x14ac:dyDescent="0.35">
      <c r="A5" s="22">
        <v>77088</v>
      </c>
      <c r="B5" s="23">
        <v>26817</v>
      </c>
    </row>
    <row r="6" spans="1:7" ht="14.5" thickBot="1" x14ac:dyDescent="0.35">
      <c r="A6" s="24">
        <v>66448</v>
      </c>
      <c r="B6" s="25">
        <v>42047</v>
      </c>
    </row>
    <row r="7" spans="1:7" ht="14.5" thickBot="1" x14ac:dyDescent="0.35">
      <c r="A7" s="22">
        <v>76248</v>
      </c>
      <c r="B7" s="23">
        <v>34147</v>
      </c>
    </row>
    <row r="8" spans="1:7" ht="14.5" thickBot="1" x14ac:dyDescent="0.35">
      <c r="A8" s="24">
        <v>76248</v>
      </c>
      <c r="B8" s="25">
        <v>25003</v>
      </c>
    </row>
    <row r="9" spans="1:7" ht="14.5" thickBot="1" x14ac:dyDescent="0.35">
      <c r="A9" s="22">
        <v>73048</v>
      </c>
      <c r="B9" s="23">
        <v>34159</v>
      </c>
    </row>
    <row r="10" spans="1:7" ht="14.5" thickBot="1" x14ac:dyDescent="0.35">
      <c r="A10" s="24">
        <v>70648</v>
      </c>
      <c r="B10" s="25">
        <v>43017</v>
      </c>
    </row>
    <row r="11" spans="1:7" ht="14.5" thickBot="1" x14ac:dyDescent="0.35">
      <c r="A11" s="22">
        <v>81128</v>
      </c>
      <c r="B11" s="23">
        <v>12378</v>
      </c>
    </row>
    <row r="12" spans="1:7" ht="14.5" thickBot="1" x14ac:dyDescent="0.35">
      <c r="A12" s="24">
        <v>68448</v>
      </c>
      <c r="B12" s="25">
        <v>46168</v>
      </c>
    </row>
    <row r="13" spans="1:7" ht="14.5" thickBot="1" x14ac:dyDescent="0.35">
      <c r="A13" s="22">
        <v>75848</v>
      </c>
      <c r="B13" s="23">
        <v>28947</v>
      </c>
    </row>
    <row r="14" spans="1:7" ht="14" x14ac:dyDescent="0.3">
      <c r="A14" s="50"/>
      <c r="B14" s="51"/>
    </row>
    <row r="15" spans="1:7" ht="13" thickBot="1" x14ac:dyDescent="0.3">
      <c r="A15" s="73" t="s">
        <v>78</v>
      </c>
      <c r="B15" s="73" t="s">
        <v>79</v>
      </c>
      <c r="G15" s="1"/>
    </row>
    <row r="16" spans="1:7" ht="14.5" thickBot="1" x14ac:dyDescent="0.35">
      <c r="A16" s="19" t="s">
        <v>4</v>
      </c>
      <c r="B16" s="52" t="s">
        <v>3</v>
      </c>
      <c r="C16" s="56" t="s">
        <v>25</v>
      </c>
      <c r="D16" s="42" t="s">
        <v>26</v>
      </c>
      <c r="G16" s="1"/>
    </row>
    <row r="17" spans="1:7" ht="15" thickTop="1" thickBot="1" x14ac:dyDescent="0.35">
      <c r="A17" s="21">
        <v>9927</v>
      </c>
      <c r="B17" s="53">
        <v>81048</v>
      </c>
      <c r="C17" s="57">
        <f>-0.3998*(A17)+86543</f>
        <v>82574.185400000002</v>
      </c>
      <c r="D17" s="34">
        <f>ABS(B17-C17)</f>
        <v>1526.1854000000021</v>
      </c>
      <c r="G17" s="1"/>
    </row>
    <row r="18" spans="1:7" ht="14.5" thickBot="1" x14ac:dyDescent="0.35">
      <c r="A18" s="23">
        <v>34947</v>
      </c>
      <c r="B18" s="54">
        <v>72248</v>
      </c>
      <c r="C18" s="57">
        <f t="shared" ref="C18:C28" si="0">-0.3998*(A18)+86543</f>
        <v>72571.189400000003</v>
      </c>
      <c r="D18" s="34">
        <f t="shared" ref="D18:D28" si="1">ABS(B18-C18)</f>
        <v>323.18940000000293</v>
      </c>
      <c r="G18" s="1"/>
    </row>
    <row r="19" spans="1:7" ht="14.5" thickBot="1" x14ac:dyDescent="0.35">
      <c r="A19" s="25">
        <v>52178</v>
      </c>
      <c r="B19" s="55">
        <v>64258</v>
      </c>
      <c r="C19" s="57">
        <f t="shared" si="0"/>
        <v>65682.2356</v>
      </c>
      <c r="D19" s="34">
        <f t="shared" si="1"/>
        <v>1424.2356</v>
      </c>
      <c r="G19" s="1"/>
    </row>
    <row r="20" spans="1:7" ht="14.5" thickBot="1" x14ac:dyDescent="0.35">
      <c r="A20" s="23">
        <v>26817</v>
      </c>
      <c r="B20" s="54">
        <v>77088</v>
      </c>
      <c r="C20" s="57">
        <f t="shared" si="0"/>
        <v>75821.563399999999</v>
      </c>
      <c r="D20" s="34">
        <f t="shared" si="1"/>
        <v>1266.4366000000009</v>
      </c>
      <c r="G20" s="1"/>
    </row>
    <row r="21" spans="1:7" ht="14.5" thickBot="1" x14ac:dyDescent="0.35">
      <c r="A21" s="25">
        <v>42047</v>
      </c>
      <c r="B21" s="55">
        <v>66448</v>
      </c>
      <c r="C21" s="57">
        <f t="shared" si="0"/>
        <v>69732.609400000001</v>
      </c>
      <c r="D21" s="34">
        <f t="shared" si="1"/>
        <v>3284.6094000000012</v>
      </c>
    </row>
    <row r="22" spans="1:7" ht="14.5" thickBot="1" x14ac:dyDescent="0.35">
      <c r="A22" s="23">
        <v>34147</v>
      </c>
      <c r="B22" s="54">
        <v>76248</v>
      </c>
      <c r="C22" s="57">
        <f t="shared" si="0"/>
        <v>72891.029399999999</v>
      </c>
      <c r="D22" s="34">
        <f t="shared" si="1"/>
        <v>3356.9706000000006</v>
      </c>
    </row>
    <row r="23" spans="1:7" ht="14.5" thickBot="1" x14ac:dyDescent="0.35">
      <c r="A23" s="25">
        <v>25003</v>
      </c>
      <c r="B23" s="55">
        <v>76248</v>
      </c>
      <c r="C23" s="57">
        <f t="shared" si="0"/>
        <v>76546.800600000002</v>
      </c>
      <c r="D23" s="34">
        <f t="shared" si="1"/>
        <v>298.80060000000231</v>
      </c>
    </row>
    <row r="24" spans="1:7" ht="14.5" thickBot="1" x14ac:dyDescent="0.35">
      <c r="A24" s="23">
        <v>34159</v>
      </c>
      <c r="B24" s="54">
        <v>73048</v>
      </c>
      <c r="C24" s="57">
        <f t="shared" si="0"/>
        <v>72886.231799999994</v>
      </c>
      <c r="D24" s="34">
        <f t="shared" si="1"/>
        <v>161.76820000000589</v>
      </c>
    </row>
    <row r="25" spans="1:7" ht="14.5" thickBot="1" x14ac:dyDescent="0.35">
      <c r="A25" s="25">
        <v>43017</v>
      </c>
      <c r="B25" s="55">
        <v>70648</v>
      </c>
      <c r="C25" s="57">
        <f t="shared" si="0"/>
        <v>69344.803400000004</v>
      </c>
      <c r="D25" s="34">
        <f t="shared" si="1"/>
        <v>1303.1965999999957</v>
      </c>
    </row>
    <row r="26" spans="1:7" ht="14.5" thickBot="1" x14ac:dyDescent="0.35">
      <c r="A26" s="23">
        <v>12378</v>
      </c>
      <c r="B26" s="54">
        <v>81128</v>
      </c>
      <c r="C26" s="57">
        <f t="shared" si="0"/>
        <v>81594.275599999994</v>
      </c>
      <c r="D26" s="34">
        <f t="shared" si="1"/>
        <v>466.27559999999357</v>
      </c>
    </row>
    <row r="27" spans="1:7" ht="14.5" thickBot="1" x14ac:dyDescent="0.35">
      <c r="A27" s="25">
        <v>46168</v>
      </c>
      <c r="B27" s="55">
        <v>68448</v>
      </c>
      <c r="C27" s="57">
        <f t="shared" si="0"/>
        <v>68085.033599999995</v>
      </c>
      <c r="D27" s="34">
        <f t="shared" si="1"/>
        <v>362.9664000000048</v>
      </c>
    </row>
    <row r="28" spans="1:7" ht="14.5" thickBot="1" x14ac:dyDescent="0.35">
      <c r="A28" s="23">
        <v>28947</v>
      </c>
      <c r="B28" s="54">
        <v>75848</v>
      </c>
      <c r="C28" s="58">
        <f t="shared" si="0"/>
        <v>74969.989400000006</v>
      </c>
      <c r="D28" s="34">
        <f t="shared" si="1"/>
        <v>878.01059999999416</v>
      </c>
    </row>
    <row r="29" spans="1:7" ht="13" x14ac:dyDescent="0.3">
      <c r="A29" s="26"/>
      <c r="C29" s="59" t="s">
        <v>14</v>
      </c>
      <c r="D29" s="60">
        <f>AVERAGE(D17:D28)</f>
        <v>1221.0537500000003</v>
      </c>
    </row>
    <row r="30" spans="1:7" x14ac:dyDescent="0.25">
      <c r="A30" s="26"/>
    </row>
    <row r="31" spans="1:7" x14ac:dyDescent="0.25">
      <c r="A31" s="26"/>
      <c r="F31" s="78">
        <f>SLOPE(B17:B28,A17:A28)</f>
        <v>-0.39977480557936163</v>
      </c>
      <c r="G31" s="79" t="s">
        <v>81</v>
      </c>
    </row>
    <row r="32" spans="1:7" x14ac:dyDescent="0.25">
      <c r="A32" s="26"/>
      <c r="F32" s="80">
        <f>INTERCEPT(B17:B28,A17:A28)</f>
        <v>86542.686154372699</v>
      </c>
      <c r="G32" s="79" t="s">
        <v>80</v>
      </c>
    </row>
    <row r="33" spans="1:1" x14ac:dyDescent="0.25">
      <c r="A33" s="26"/>
    </row>
    <row r="34" spans="1:1" x14ac:dyDescent="0.25">
      <c r="A34" s="26"/>
    </row>
    <row r="35" spans="1:1" x14ac:dyDescent="0.25">
      <c r="A35" s="26"/>
    </row>
    <row r="36" spans="1:1" x14ac:dyDescent="0.25">
      <c r="A36" s="26"/>
    </row>
  </sheetData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73A08-45D0-40CE-BFB2-E21371530AEE}">
  <dimension ref="A1:I40"/>
  <sheetViews>
    <sheetView showGridLines="0" topLeftCell="A16" zoomScale="73" zoomScaleNormal="100" workbookViewId="0">
      <selection activeCell="A39" sqref="A39:B40"/>
    </sheetView>
  </sheetViews>
  <sheetFormatPr defaultColWidth="9.1796875" defaultRowHeight="14" x14ac:dyDescent="0.3"/>
  <cols>
    <col min="1" max="1" width="10.7265625" style="27" customWidth="1"/>
    <col min="2" max="2" width="9.1796875" style="27"/>
    <col min="3" max="3" width="16.1796875" style="27" customWidth="1"/>
    <col min="4" max="4" width="19.26953125" style="27" customWidth="1"/>
    <col min="5" max="5" width="12.90625" style="27" bestFit="1" customWidth="1"/>
    <col min="6" max="6" width="18.26953125" style="27" customWidth="1"/>
    <col min="7" max="7" width="14.08984375" style="27" customWidth="1"/>
    <col min="8" max="8" width="14.81640625" style="27" customWidth="1"/>
    <col min="9" max="9" width="23.453125" style="27" customWidth="1"/>
    <col min="10" max="10" width="16.36328125" style="27" customWidth="1"/>
    <col min="11" max="11" width="17.26953125" style="27" customWidth="1"/>
    <col min="12" max="16384" width="9.1796875" style="27"/>
  </cols>
  <sheetData>
    <row r="1" spans="1:5" x14ac:dyDescent="0.3">
      <c r="A1" s="30" t="s">
        <v>8</v>
      </c>
    </row>
    <row r="2" spans="1:5" x14ac:dyDescent="0.3">
      <c r="A2" s="81" t="s">
        <v>5</v>
      </c>
      <c r="B2" s="82" t="s">
        <v>1</v>
      </c>
      <c r="C2" s="84" t="s">
        <v>6</v>
      </c>
      <c r="D2" s="84" t="s">
        <v>73</v>
      </c>
      <c r="E2" s="84" t="s">
        <v>26</v>
      </c>
    </row>
    <row r="3" spans="1:5" x14ac:dyDescent="0.3">
      <c r="A3" s="81"/>
      <c r="B3" s="82"/>
      <c r="C3" s="84"/>
      <c r="D3" s="84"/>
      <c r="E3" s="84"/>
    </row>
    <row r="4" spans="1:5" x14ac:dyDescent="0.3">
      <c r="A4" s="5">
        <v>1960</v>
      </c>
      <c r="B4" s="28">
        <v>1</v>
      </c>
      <c r="C4" s="5">
        <v>4.0999999999999996</v>
      </c>
      <c r="D4" s="65">
        <f>$H$21*B23+$G$21</f>
        <v>3.3021978021978029</v>
      </c>
      <c r="E4" s="72">
        <f>ABS(C4-D4)</f>
        <v>0.79780219780219674</v>
      </c>
    </row>
    <row r="5" spans="1:5" x14ac:dyDescent="0.3">
      <c r="A5" s="5">
        <v>1965</v>
      </c>
      <c r="B5" s="28">
        <v>2</v>
      </c>
      <c r="C5" s="5">
        <v>4.2</v>
      </c>
      <c r="D5" s="65">
        <f>$H$21*B24+$G$21</f>
        <v>3.7120879120879131</v>
      </c>
      <c r="E5" s="72">
        <f t="shared" ref="E5:E16" si="0">ABS(C5-D5)</f>
        <v>0.48791208791208707</v>
      </c>
    </row>
    <row r="6" spans="1:5" x14ac:dyDescent="0.3">
      <c r="A6" s="5">
        <v>1970</v>
      </c>
      <c r="B6" s="28">
        <v>3</v>
      </c>
      <c r="C6" s="5">
        <v>4.2</v>
      </c>
      <c r="D6" s="65">
        <f t="shared" ref="D6:D16" si="1">$H$21*B25+$G$21</f>
        <v>4.1219780219780233</v>
      </c>
      <c r="E6" s="72">
        <f t="shared" si="0"/>
        <v>7.8021978021976857E-2</v>
      </c>
    </row>
    <row r="7" spans="1:5" x14ac:dyDescent="0.3">
      <c r="A7" s="5">
        <v>1975</v>
      </c>
      <c r="B7" s="28">
        <v>4</v>
      </c>
      <c r="C7" s="5">
        <v>4.2</v>
      </c>
      <c r="D7" s="65">
        <f t="shared" si="1"/>
        <v>4.5318681318681326</v>
      </c>
      <c r="E7" s="72">
        <f t="shared" si="0"/>
        <v>0.33186813186813247</v>
      </c>
    </row>
    <row r="8" spans="1:5" x14ac:dyDescent="0.3">
      <c r="A8" s="5">
        <v>1980</v>
      </c>
      <c r="B8" s="28">
        <v>5</v>
      </c>
      <c r="C8" s="5">
        <v>4.5999999999999996</v>
      </c>
      <c r="D8" s="65">
        <f t="shared" si="1"/>
        <v>4.941758241758242</v>
      </c>
      <c r="E8" s="72">
        <f t="shared" si="0"/>
        <v>0.34175824175824232</v>
      </c>
    </row>
    <row r="9" spans="1:5" x14ac:dyDescent="0.3">
      <c r="A9" s="5">
        <v>1985</v>
      </c>
      <c r="B9" s="28">
        <v>6</v>
      </c>
      <c r="C9" s="5">
        <v>5.0999999999999996</v>
      </c>
      <c r="D9" s="65">
        <f t="shared" si="1"/>
        <v>5.3516483516483522</v>
      </c>
      <c r="E9" s="72">
        <f t="shared" si="0"/>
        <v>0.25164835164835253</v>
      </c>
    </row>
    <row r="10" spans="1:5" x14ac:dyDescent="0.3">
      <c r="A10" s="5">
        <v>1990</v>
      </c>
      <c r="B10" s="28">
        <v>7</v>
      </c>
      <c r="C10" s="5">
        <v>5.5</v>
      </c>
      <c r="D10" s="65">
        <f t="shared" si="1"/>
        <v>5.7615384615384624</v>
      </c>
      <c r="E10" s="72">
        <f t="shared" si="0"/>
        <v>0.26153846153846239</v>
      </c>
    </row>
    <row r="11" spans="1:5" x14ac:dyDescent="0.3">
      <c r="A11" s="5">
        <v>1995</v>
      </c>
      <c r="B11" s="28">
        <v>8</v>
      </c>
      <c r="C11" s="5">
        <v>5.7</v>
      </c>
      <c r="D11" s="65">
        <f t="shared" si="1"/>
        <v>6.1714285714285726</v>
      </c>
      <c r="E11" s="72">
        <f t="shared" si="0"/>
        <v>0.47142857142857242</v>
      </c>
    </row>
    <row r="12" spans="1:5" x14ac:dyDescent="0.3">
      <c r="A12" s="5">
        <v>2000</v>
      </c>
      <c r="B12" s="28">
        <v>9</v>
      </c>
      <c r="C12" s="5">
        <v>6.1</v>
      </c>
      <c r="D12" s="65">
        <f t="shared" si="1"/>
        <v>6.5813186813186819</v>
      </c>
      <c r="E12" s="72">
        <f t="shared" si="0"/>
        <v>0.48131868131868227</v>
      </c>
    </row>
    <row r="13" spans="1:5" x14ac:dyDescent="0.3">
      <c r="A13" s="5">
        <v>2005</v>
      </c>
      <c r="B13" s="28">
        <v>10</v>
      </c>
      <c r="C13" s="5">
        <v>6.3</v>
      </c>
      <c r="D13" s="65">
        <f t="shared" si="1"/>
        <v>6.9912087912087912</v>
      </c>
      <c r="E13" s="72">
        <f t="shared" si="0"/>
        <v>0.69120879120879142</v>
      </c>
    </row>
    <row r="14" spans="1:5" x14ac:dyDescent="0.3">
      <c r="A14" s="5">
        <v>2010</v>
      </c>
      <c r="B14" s="28">
        <v>11</v>
      </c>
      <c r="C14" s="5">
        <v>6.9</v>
      </c>
      <c r="D14" s="65">
        <f t="shared" si="1"/>
        <v>7.4010989010989015</v>
      </c>
      <c r="E14" s="72">
        <f t="shared" si="0"/>
        <v>0.50109890109890109</v>
      </c>
    </row>
    <row r="15" spans="1:5" x14ac:dyDescent="0.3">
      <c r="A15" s="5">
        <v>2015</v>
      </c>
      <c r="B15" s="28">
        <v>12</v>
      </c>
      <c r="C15" s="5">
        <v>8.5</v>
      </c>
      <c r="D15" s="65">
        <f t="shared" si="1"/>
        <v>7.8109890109890117</v>
      </c>
      <c r="E15" s="72">
        <f t="shared" si="0"/>
        <v>0.68901098901098834</v>
      </c>
    </row>
    <row r="16" spans="1:5" x14ac:dyDescent="0.3">
      <c r="A16" s="5">
        <v>2020</v>
      </c>
      <c r="B16" s="28">
        <v>13</v>
      </c>
      <c r="C16" s="5">
        <v>9.5</v>
      </c>
      <c r="D16" s="65">
        <f t="shared" si="1"/>
        <v>8.2208791208791219</v>
      </c>
      <c r="E16" s="72">
        <f t="shared" si="0"/>
        <v>1.2791208791208781</v>
      </c>
    </row>
    <row r="17" spans="1:9" x14ac:dyDescent="0.3">
      <c r="A17" s="5">
        <v>2025</v>
      </c>
      <c r="B17" s="28">
        <v>14</v>
      </c>
      <c r="C17" s="29" t="s">
        <v>7</v>
      </c>
      <c r="D17" s="28"/>
      <c r="E17" s="28"/>
    </row>
    <row r="18" spans="1:9" x14ac:dyDescent="0.3">
      <c r="A18" s="5">
        <v>2030</v>
      </c>
      <c r="B18" s="28">
        <v>15</v>
      </c>
      <c r="C18" s="29" t="s">
        <v>7</v>
      </c>
      <c r="D18" s="28"/>
      <c r="E18" s="28"/>
    </row>
    <row r="20" spans="1:9" ht="16" customHeight="1" x14ac:dyDescent="0.3">
      <c r="A20" s="30" t="s">
        <v>9</v>
      </c>
    </row>
    <row r="21" spans="1:9" x14ac:dyDescent="0.3">
      <c r="A21" s="81" t="s">
        <v>5</v>
      </c>
      <c r="B21" s="82" t="s">
        <v>1</v>
      </c>
      <c r="C21" s="83" t="s">
        <v>6</v>
      </c>
      <c r="D21" s="89" t="s">
        <v>68</v>
      </c>
      <c r="E21" s="91" t="s">
        <v>69</v>
      </c>
      <c r="F21" s="87" t="s">
        <v>70</v>
      </c>
      <c r="G21" s="93">
        <f>INTERCEPT(C23:C35,B23:B35)</f>
        <v>2.8923076923076931</v>
      </c>
      <c r="H21" s="85">
        <f>SLOPE(C23:C35,B23:B35)</f>
        <v>0.40989010989010988</v>
      </c>
      <c r="I21" s="87" t="s">
        <v>75</v>
      </c>
    </row>
    <row r="22" spans="1:9" x14ac:dyDescent="0.3">
      <c r="A22" s="81"/>
      <c r="B22" s="82"/>
      <c r="C22" s="83"/>
      <c r="D22" s="90"/>
      <c r="E22" s="92"/>
      <c r="F22" s="88"/>
      <c r="G22" s="94"/>
      <c r="H22" s="86"/>
      <c r="I22" s="88"/>
    </row>
    <row r="23" spans="1:9" x14ac:dyDescent="0.3">
      <c r="A23" s="5">
        <v>1960</v>
      </c>
      <c r="B23" s="28">
        <v>1</v>
      </c>
      <c r="C23" s="5">
        <v>4.0999999999999996</v>
      </c>
      <c r="D23" s="75" t="s">
        <v>27</v>
      </c>
      <c r="E23" s="76" t="s">
        <v>40</v>
      </c>
      <c r="F23" s="28" t="s">
        <v>53</v>
      </c>
      <c r="G23" s="64">
        <f>$B$39*C23+(1-$B$39)*(G21+H21)</f>
        <v>3.8606593406593408</v>
      </c>
      <c r="H23" s="66">
        <f>$B$40*(G23-G21)+(1-$B$40)*H21</f>
        <v>0.52158241758241752</v>
      </c>
      <c r="I23" s="63">
        <f>G21+H21</f>
        <v>3.3021978021978029</v>
      </c>
    </row>
    <row r="24" spans="1:9" x14ac:dyDescent="0.3">
      <c r="A24" s="5">
        <v>1965</v>
      </c>
      <c r="B24" s="28">
        <v>2</v>
      </c>
      <c r="C24" s="5">
        <v>4.2</v>
      </c>
      <c r="D24" s="75" t="s">
        <v>28</v>
      </c>
      <c r="E24" s="76" t="s">
        <v>41</v>
      </c>
      <c r="F24" s="28" t="s">
        <v>54</v>
      </c>
      <c r="G24" s="64">
        <f>$B$39*C24+(1-$B$39)*(G23+H23)</f>
        <v>4.2546725274725272</v>
      </c>
      <c r="H24" s="66">
        <f>$B$40*(G24-G23)+(1-$B$40)*H23</f>
        <v>0.4960685714285713</v>
      </c>
      <c r="I24" s="63">
        <f>G23+H23</f>
        <v>4.3822417582417579</v>
      </c>
    </row>
    <row r="25" spans="1:9" x14ac:dyDescent="0.3">
      <c r="A25" s="5">
        <v>1970</v>
      </c>
      <c r="B25" s="28">
        <v>3</v>
      </c>
      <c r="C25" s="5">
        <v>4.2</v>
      </c>
      <c r="D25" s="75" t="s">
        <v>29</v>
      </c>
      <c r="E25" s="76" t="s">
        <v>42</v>
      </c>
      <c r="F25" s="28" t="s">
        <v>55</v>
      </c>
      <c r="G25" s="64">
        <f t="shared" ref="G25:G35" si="2">$B$39*C25+(1-$B$39)*(G24+H24)</f>
        <v>4.3652223296703294</v>
      </c>
      <c r="H25" s="66">
        <f t="shared" ref="H25:H35" si="3">$B$40*(G25-G24)+(1-$B$40)*H24</f>
        <v>0.41896481758241749</v>
      </c>
      <c r="I25" s="63">
        <f t="shared" ref="I25:I35" si="4">G24+H24</f>
        <v>4.7507410989010985</v>
      </c>
    </row>
    <row r="26" spans="1:9" x14ac:dyDescent="0.3">
      <c r="A26" s="5">
        <v>1975</v>
      </c>
      <c r="B26" s="28">
        <v>4</v>
      </c>
      <c r="C26" s="5">
        <v>4.2</v>
      </c>
      <c r="D26" s="75" t="s">
        <v>30</v>
      </c>
      <c r="E26" s="76" t="s">
        <v>43</v>
      </c>
      <c r="F26" s="28" t="s">
        <v>56</v>
      </c>
      <c r="G26" s="64">
        <f t="shared" si="2"/>
        <v>4.3752561441758244</v>
      </c>
      <c r="H26" s="66">
        <f t="shared" si="3"/>
        <v>0.33717861696703305</v>
      </c>
      <c r="I26" s="63">
        <f t="shared" si="4"/>
        <v>4.7841871472527471</v>
      </c>
    </row>
    <row r="27" spans="1:9" x14ac:dyDescent="0.3">
      <c r="A27" s="5">
        <v>1980</v>
      </c>
      <c r="B27" s="28">
        <v>5</v>
      </c>
      <c r="C27" s="5">
        <v>4.5999999999999996</v>
      </c>
      <c r="D27" s="75" t="s">
        <v>31</v>
      </c>
      <c r="E27" s="76" t="s">
        <v>44</v>
      </c>
      <c r="F27" s="28" t="s">
        <v>57</v>
      </c>
      <c r="G27" s="64">
        <f t="shared" si="2"/>
        <v>4.6337304283428571</v>
      </c>
      <c r="H27" s="66">
        <f t="shared" si="3"/>
        <v>0.32143775040703298</v>
      </c>
      <c r="I27" s="63">
        <f t="shared" si="4"/>
        <v>4.7124347611428572</v>
      </c>
    </row>
    <row r="28" spans="1:9" x14ac:dyDescent="0.3">
      <c r="A28" s="5">
        <v>1985</v>
      </c>
      <c r="B28" s="28">
        <v>6</v>
      </c>
      <c r="C28" s="5">
        <v>5.0999999999999996</v>
      </c>
      <c r="D28" s="75" t="s">
        <v>32</v>
      </c>
      <c r="E28" s="76" t="s">
        <v>45</v>
      </c>
      <c r="F28" s="28" t="s">
        <v>58</v>
      </c>
      <c r="G28" s="64">
        <f t="shared" si="2"/>
        <v>5.0565504536249666</v>
      </c>
      <c r="H28" s="66">
        <f t="shared" si="3"/>
        <v>0.34171420538204833</v>
      </c>
      <c r="I28" s="63">
        <f t="shared" si="4"/>
        <v>4.95516817874989</v>
      </c>
    </row>
    <row r="29" spans="1:9" x14ac:dyDescent="0.3">
      <c r="A29" s="5">
        <v>1990</v>
      </c>
      <c r="B29" s="28">
        <v>7</v>
      </c>
      <c r="C29" s="5">
        <v>5.5</v>
      </c>
      <c r="D29" s="75" t="s">
        <v>33</v>
      </c>
      <c r="E29" s="76" t="s">
        <v>46</v>
      </c>
      <c r="F29" s="28" t="s">
        <v>59</v>
      </c>
      <c r="G29" s="64">
        <f t="shared" si="2"/>
        <v>5.4694793977021048</v>
      </c>
      <c r="H29" s="66">
        <f t="shared" si="3"/>
        <v>0.35595715312106635</v>
      </c>
      <c r="I29" s="63">
        <f t="shared" si="4"/>
        <v>5.3982646590070154</v>
      </c>
    </row>
    <row r="30" spans="1:9" x14ac:dyDescent="0.3">
      <c r="A30" s="5">
        <v>1995</v>
      </c>
      <c r="B30" s="28">
        <v>8</v>
      </c>
      <c r="C30" s="5">
        <v>5.7</v>
      </c>
      <c r="D30" s="75" t="s">
        <v>34</v>
      </c>
      <c r="E30" s="76" t="s">
        <v>47</v>
      </c>
      <c r="F30" s="28" t="s">
        <v>60</v>
      </c>
      <c r="G30" s="64">
        <f t="shared" si="2"/>
        <v>5.737630965246951</v>
      </c>
      <c r="H30" s="66">
        <f t="shared" si="3"/>
        <v>0.33839603600582235</v>
      </c>
      <c r="I30" s="63">
        <f t="shared" si="4"/>
        <v>5.8254365508231709</v>
      </c>
    </row>
    <row r="31" spans="1:9" x14ac:dyDescent="0.3">
      <c r="A31" s="5">
        <v>2000</v>
      </c>
      <c r="B31" s="28">
        <v>9</v>
      </c>
      <c r="C31" s="5">
        <v>6.1</v>
      </c>
      <c r="D31" s="75" t="s">
        <v>35</v>
      </c>
      <c r="E31" s="76" t="s">
        <v>48</v>
      </c>
      <c r="F31" s="28" t="s">
        <v>61</v>
      </c>
      <c r="G31" s="64">
        <f t="shared" si="2"/>
        <v>6.0928081003758319</v>
      </c>
      <c r="H31" s="66">
        <f t="shared" si="3"/>
        <v>0.34175225583043412</v>
      </c>
      <c r="I31" s="63">
        <f t="shared" si="4"/>
        <v>6.0760270012527737</v>
      </c>
    </row>
    <row r="32" spans="1:9" x14ac:dyDescent="0.3">
      <c r="A32" s="5">
        <v>2005</v>
      </c>
      <c r="B32" s="28">
        <v>10</v>
      </c>
      <c r="C32" s="5">
        <v>6.3</v>
      </c>
      <c r="D32" s="75" t="s">
        <v>36</v>
      </c>
      <c r="E32" s="76" t="s">
        <v>49</v>
      </c>
      <c r="F32" s="28" t="s">
        <v>62</v>
      </c>
      <c r="G32" s="64">
        <f t="shared" si="2"/>
        <v>6.3403681068618791</v>
      </c>
      <c r="H32" s="66">
        <f t="shared" si="3"/>
        <v>0.32291380596155678</v>
      </c>
      <c r="I32" s="63">
        <f t="shared" si="4"/>
        <v>6.4345603562062657</v>
      </c>
    </row>
    <row r="33" spans="1:9" x14ac:dyDescent="0.3">
      <c r="A33" s="5">
        <v>2010</v>
      </c>
      <c r="B33" s="28">
        <v>11</v>
      </c>
      <c r="C33" s="5">
        <v>6.9</v>
      </c>
      <c r="D33" s="75" t="s">
        <v>37</v>
      </c>
      <c r="E33" s="76" t="s">
        <v>50</v>
      </c>
      <c r="F33" s="28" t="s">
        <v>63</v>
      </c>
      <c r="G33" s="64">
        <f t="shared" si="2"/>
        <v>6.8289845738470314</v>
      </c>
      <c r="H33" s="66">
        <f t="shared" si="3"/>
        <v>0.35605433816627591</v>
      </c>
      <c r="I33" s="63">
        <f t="shared" si="4"/>
        <v>6.663281912823436</v>
      </c>
    </row>
    <row r="34" spans="1:9" x14ac:dyDescent="0.3">
      <c r="A34" s="5">
        <v>2015</v>
      </c>
      <c r="B34" s="28">
        <v>12</v>
      </c>
      <c r="C34" s="5">
        <v>8.5</v>
      </c>
      <c r="D34" s="75" t="s">
        <v>38</v>
      </c>
      <c r="E34" s="76" t="s">
        <v>51</v>
      </c>
      <c r="F34" s="28" t="s">
        <v>64</v>
      </c>
      <c r="G34" s="64">
        <f t="shared" si="2"/>
        <v>8.1055116736039921</v>
      </c>
      <c r="H34" s="66">
        <f t="shared" si="3"/>
        <v>0.54014889048441295</v>
      </c>
      <c r="I34" s="63">
        <f t="shared" si="4"/>
        <v>7.1850389120133071</v>
      </c>
    </row>
    <row r="35" spans="1:9" x14ac:dyDescent="0.3">
      <c r="A35" s="5">
        <v>2020</v>
      </c>
      <c r="B35" s="28">
        <v>13</v>
      </c>
      <c r="C35" s="5">
        <v>9.5</v>
      </c>
      <c r="D35" s="75" t="s">
        <v>39</v>
      </c>
      <c r="E35" s="76" t="s">
        <v>52</v>
      </c>
      <c r="F35" s="28" t="s">
        <v>65</v>
      </c>
      <c r="G35" s="64">
        <f t="shared" si="2"/>
        <v>9.243698169226521</v>
      </c>
      <c r="H35" s="66">
        <f t="shared" si="3"/>
        <v>0.65975641151203623</v>
      </c>
      <c r="I35" s="63">
        <f t="shared" si="4"/>
        <v>8.6456605640884057</v>
      </c>
    </row>
    <row r="36" spans="1:9" x14ac:dyDescent="0.3">
      <c r="A36" s="5">
        <v>2025</v>
      </c>
      <c r="B36" s="28">
        <v>14</v>
      </c>
      <c r="C36" s="29" t="s">
        <v>7</v>
      </c>
      <c r="D36" s="28"/>
      <c r="E36" s="28"/>
      <c r="F36" s="28" t="s">
        <v>66</v>
      </c>
      <c r="G36" s="61"/>
      <c r="H36" s="62"/>
      <c r="I36" s="63"/>
    </row>
    <row r="37" spans="1:9" x14ac:dyDescent="0.3">
      <c r="A37" s="5">
        <v>2030</v>
      </c>
      <c r="B37" s="28">
        <v>15</v>
      </c>
      <c r="C37" s="29" t="s">
        <v>7</v>
      </c>
      <c r="D37" s="61"/>
      <c r="E37" s="61"/>
      <c r="F37" s="61"/>
      <c r="G37" s="61"/>
      <c r="H37" s="61"/>
      <c r="I37" s="61"/>
    </row>
    <row r="39" spans="1:9" x14ac:dyDescent="0.3">
      <c r="A39" s="28" t="s">
        <v>71</v>
      </c>
      <c r="B39" s="28">
        <v>0.7</v>
      </c>
    </row>
    <row r="40" spans="1:9" x14ac:dyDescent="0.3">
      <c r="A40" s="28" t="s">
        <v>72</v>
      </c>
      <c r="B40" s="28">
        <v>0.2</v>
      </c>
    </row>
  </sheetData>
  <mergeCells count="14">
    <mergeCell ref="H21:H22"/>
    <mergeCell ref="I21:I22"/>
    <mergeCell ref="D2:D3"/>
    <mergeCell ref="E2:E3"/>
    <mergeCell ref="D21:D22"/>
    <mergeCell ref="E21:E22"/>
    <mergeCell ref="F21:F22"/>
    <mergeCell ref="G21:G22"/>
    <mergeCell ref="A21:A22"/>
    <mergeCell ref="B21:B22"/>
    <mergeCell ref="C21:C22"/>
    <mergeCell ref="A2:A3"/>
    <mergeCell ref="B2:B3"/>
    <mergeCell ref="C2:C3"/>
  </mergeCells>
  <phoneticPr fontId="12" type="noConversion"/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AE74-891B-45B0-A7D1-EBDD809C2D34}">
  <dimension ref="A1:L40"/>
  <sheetViews>
    <sheetView showGridLines="0" tabSelected="1" topLeftCell="A13" zoomScale="56" zoomScaleNormal="63" workbookViewId="0">
      <selection activeCell="D41" sqref="D41"/>
    </sheetView>
  </sheetViews>
  <sheetFormatPr defaultColWidth="9.1796875" defaultRowHeight="14" x14ac:dyDescent="0.3"/>
  <cols>
    <col min="1" max="1" width="10.7265625" style="27" customWidth="1"/>
    <col min="2" max="2" width="9.1796875" style="27"/>
    <col min="3" max="3" width="16.1796875" style="27" customWidth="1"/>
    <col min="4" max="4" width="26.54296875" style="27" bestFit="1" customWidth="1"/>
    <col min="5" max="5" width="17.26953125" style="27" customWidth="1"/>
    <col min="6" max="6" width="13.08984375" style="27" customWidth="1"/>
    <col min="7" max="7" width="9.1796875" style="27"/>
    <col min="8" max="9" width="9.7265625" style="27" bestFit="1" customWidth="1"/>
    <col min="10" max="16384" width="9.1796875" style="27"/>
  </cols>
  <sheetData>
    <row r="1" spans="1:12" x14ac:dyDescent="0.3">
      <c r="A1" s="30" t="s">
        <v>8</v>
      </c>
    </row>
    <row r="2" spans="1:12" x14ac:dyDescent="0.3">
      <c r="A2" s="81" t="s">
        <v>5</v>
      </c>
      <c r="B2" s="82" t="s">
        <v>1</v>
      </c>
      <c r="C2" s="84" t="s">
        <v>6</v>
      </c>
      <c r="D2" s="82" t="s">
        <v>76</v>
      </c>
      <c r="E2" s="82" t="s">
        <v>26</v>
      </c>
      <c r="F2" s="82" t="s">
        <v>77</v>
      </c>
      <c r="K2" s="61" t="s">
        <v>14</v>
      </c>
      <c r="L2" s="72">
        <f>AVERAGE(E4:E16)</f>
        <v>0.5125950972104818</v>
      </c>
    </row>
    <row r="3" spans="1:12" x14ac:dyDescent="0.3">
      <c r="A3" s="81"/>
      <c r="B3" s="82"/>
      <c r="C3" s="84"/>
      <c r="D3" s="82"/>
      <c r="E3" s="82"/>
      <c r="F3" s="82"/>
      <c r="I3" s="68"/>
      <c r="K3" s="61" t="s">
        <v>15</v>
      </c>
      <c r="L3" s="74">
        <f>AVERAGE(F4:F16)</f>
        <v>8.7630266152394665E-2</v>
      </c>
    </row>
    <row r="4" spans="1:12" x14ac:dyDescent="0.3">
      <c r="A4" s="5">
        <v>1960</v>
      </c>
      <c r="B4" s="28">
        <v>1</v>
      </c>
      <c r="C4" s="5">
        <v>4.0999999999999996</v>
      </c>
      <c r="D4" s="63">
        <f>$E$22*B23+$D$22</f>
        <v>3.3021978021978029</v>
      </c>
      <c r="E4" s="69">
        <f>ABS(C4-D4)</f>
        <v>0.79780219780219674</v>
      </c>
      <c r="F4" s="70">
        <f>(E4/C4)</f>
        <v>0.19458590190297484</v>
      </c>
      <c r="I4" s="71"/>
    </row>
    <row r="5" spans="1:12" x14ac:dyDescent="0.3">
      <c r="A5" s="5">
        <v>1965</v>
      </c>
      <c r="B5" s="28">
        <v>2</v>
      </c>
      <c r="C5" s="5">
        <v>4.2</v>
      </c>
      <c r="D5" s="63">
        <f t="shared" ref="D5:D18" si="0">$E$22*B24+$D$22</f>
        <v>3.7120879120879131</v>
      </c>
      <c r="E5" s="69">
        <f t="shared" ref="E5:E16" si="1">ABS(C5-D5)</f>
        <v>0.48791208791208707</v>
      </c>
      <c r="F5" s="70">
        <f t="shared" ref="F5:F16" si="2">(E5/C5)</f>
        <v>0.1161695447409731</v>
      </c>
    </row>
    <row r="6" spans="1:12" x14ac:dyDescent="0.3">
      <c r="A6" s="5">
        <v>1970</v>
      </c>
      <c r="B6" s="28">
        <v>3</v>
      </c>
      <c r="C6" s="5">
        <v>4.2</v>
      </c>
      <c r="D6" s="63">
        <f t="shared" si="0"/>
        <v>4.1219780219780233</v>
      </c>
      <c r="E6" s="69">
        <f t="shared" si="1"/>
        <v>7.8021978021976857E-2</v>
      </c>
      <c r="F6" s="70">
        <f t="shared" si="2"/>
        <v>1.8576661433804011E-2</v>
      </c>
    </row>
    <row r="7" spans="1:12" x14ac:dyDescent="0.3">
      <c r="A7" s="5">
        <v>1975</v>
      </c>
      <c r="B7" s="28">
        <v>4</v>
      </c>
      <c r="C7" s="5">
        <v>4.2</v>
      </c>
      <c r="D7" s="63">
        <f t="shared" si="0"/>
        <v>4.5318681318681326</v>
      </c>
      <c r="E7" s="69">
        <f t="shared" si="1"/>
        <v>0.33186813186813247</v>
      </c>
      <c r="F7" s="70">
        <f t="shared" si="2"/>
        <v>7.9016221873364864E-2</v>
      </c>
    </row>
    <row r="8" spans="1:12" x14ac:dyDescent="0.3">
      <c r="A8" s="5">
        <v>1980</v>
      </c>
      <c r="B8" s="28">
        <v>5</v>
      </c>
      <c r="C8" s="5">
        <v>4.5999999999999996</v>
      </c>
      <c r="D8" s="63">
        <f t="shared" si="0"/>
        <v>4.941758241758242</v>
      </c>
      <c r="E8" s="69">
        <f t="shared" si="1"/>
        <v>0.34175824175824232</v>
      </c>
      <c r="F8" s="70">
        <f t="shared" si="2"/>
        <v>7.4295269947443995E-2</v>
      </c>
    </row>
    <row r="9" spans="1:12" x14ac:dyDescent="0.3">
      <c r="A9" s="5">
        <v>1985</v>
      </c>
      <c r="B9" s="28">
        <v>6</v>
      </c>
      <c r="C9" s="5">
        <v>5.0999999999999996</v>
      </c>
      <c r="D9" s="63">
        <f t="shared" si="0"/>
        <v>5.3516483516483522</v>
      </c>
      <c r="E9" s="69">
        <f t="shared" si="1"/>
        <v>0.25164835164835253</v>
      </c>
      <c r="F9" s="70">
        <f t="shared" si="2"/>
        <v>4.934281404869658E-2</v>
      </c>
    </row>
    <row r="10" spans="1:12" x14ac:dyDescent="0.3">
      <c r="A10" s="5">
        <v>1990</v>
      </c>
      <c r="B10" s="28">
        <v>7</v>
      </c>
      <c r="C10" s="5">
        <v>5.5</v>
      </c>
      <c r="D10" s="63">
        <f t="shared" si="0"/>
        <v>5.7615384615384624</v>
      </c>
      <c r="E10" s="69">
        <f t="shared" si="1"/>
        <v>0.26153846153846239</v>
      </c>
      <c r="F10" s="70">
        <f t="shared" si="2"/>
        <v>4.7552447552447703E-2</v>
      </c>
    </row>
    <row r="11" spans="1:12" x14ac:dyDescent="0.3">
      <c r="A11" s="5">
        <v>1995</v>
      </c>
      <c r="B11" s="28">
        <v>8</v>
      </c>
      <c r="C11" s="5">
        <v>5.7</v>
      </c>
      <c r="D11" s="63">
        <f t="shared" si="0"/>
        <v>6.1714285714285726</v>
      </c>
      <c r="E11" s="69">
        <f t="shared" si="1"/>
        <v>0.47142857142857242</v>
      </c>
      <c r="F11" s="70">
        <f t="shared" si="2"/>
        <v>8.2706766917293409E-2</v>
      </c>
    </row>
    <row r="12" spans="1:12" x14ac:dyDescent="0.3">
      <c r="A12" s="5">
        <v>2000</v>
      </c>
      <c r="B12" s="28">
        <v>9</v>
      </c>
      <c r="C12" s="5">
        <v>6.1</v>
      </c>
      <c r="D12" s="63">
        <f t="shared" si="0"/>
        <v>6.5813186813186819</v>
      </c>
      <c r="E12" s="69">
        <f t="shared" si="1"/>
        <v>0.48131868131868227</v>
      </c>
      <c r="F12" s="70">
        <f t="shared" si="2"/>
        <v>7.8904701855521689E-2</v>
      </c>
    </row>
    <row r="13" spans="1:12" x14ac:dyDescent="0.3">
      <c r="A13" s="5">
        <v>2005</v>
      </c>
      <c r="B13" s="28">
        <v>10</v>
      </c>
      <c r="C13" s="5">
        <v>6.3</v>
      </c>
      <c r="D13" s="63">
        <f t="shared" si="0"/>
        <v>6.9912087912087912</v>
      </c>
      <c r="E13" s="69">
        <f t="shared" si="1"/>
        <v>0.69120879120879142</v>
      </c>
      <c r="F13" s="70">
        <f t="shared" si="2"/>
        <v>0.10971568114425261</v>
      </c>
    </row>
    <row r="14" spans="1:12" x14ac:dyDescent="0.3">
      <c r="A14" s="5">
        <v>2010</v>
      </c>
      <c r="B14" s="28">
        <v>11</v>
      </c>
      <c r="C14" s="5">
        <v>6.9</v>
      </c>
      <c r="D14" s="63">
        <f t="shared" si="0"/>
        <v>7.4010989010989015</v>
      </c>
      <c r="E14" s="69">
        <f t="shared" si="1"/>
        <v>0.50109890109890109</v>
      </c>
      <c r="F14" s="70">
        <f t="shared" si="2"/>
        <v>7.2623029144768272E-2</v>
      </c>
    </row>
    <row r="15" spans="1:12" x14ac:dyDescent="0.3">
      <c r="A15" s="5">
        <v>2015</v>
      </c>
      <c r="B15" s="28">
        <v>12</v>
      </c>
      <c r="C15" s="5">
        <v>8.5</v>
      </c>
      <c r="D15" s="63">
        <f t="shared" si="0"/>
        <v>7.8109890109890117</v>
      </c>
      <c r="E15" s="69">
        <f t="shared" si="1"/>
        <v>0.68901098901098834</v>
      </c>
      <c r="F15" s="70">
        <f t="shared" si="2"/>
        <v>8.1060116354233921E-2</v>
      </c>
    </row>
    <row r="16" spans="1:12" x14ac:dyDescent="0.3">
      <c r="A16" s="5">
        <v>2020</v>
      </c>
      <c r="B16" s="28">
        <v>13</v>
      </c>
      <c r="C16" s="5">
        <v>9.5</v>
      </c>
      <c r="D16" s="63">
        <f t="shared" si="0"/>
        <v>8.2208791208791219</v>
      </c>
      <c r="E16" s="69">
        <f t="shared" si="1"/>
        <v>1.2791208791208781</v>
      </c>
      <c r="F16" s="70">
        <f t="shared" si="2"/>
        <v>0.1346443030653556</v>
      </c>
    </row>
    <row r="17" spans="1:12" x14ac:dyDescent="0.3">
      <c r="A17" s="5">
        <v>2025</v>
      </c>
      <c r="B17" s="28">
        <v>14</v>
      </c>
      <c r="C17" s="29" t="s">
        <v>7</v>
      </c>
      <c r="D17" s="63">
        <f t="shared" si="0"/>
        <v>8.6307692307692321</v>
      </c>
      <c r="E17" s="68"/>
    </row>
    <row r="18" spans="1:12" x14ac:dyDescent="0.3">
      <c r="A18" s="5">
        <v>2030</v>
      </c>
      <c r="B18" s="28">
        <v>15</v>
      </c>
      <c r="C18" s="29" t="s">
        <v>7</v>
      </c>
      <c r="D18" s="63">
        <f t="shared" si="0"/>
        <v>9.0406593406593405</v>
      </c>
    </row>
    <row r="19" spans="1:12" x14ac:dyDescent="0.3">
      <c r="F19" s="30" t="s">
        <v>68</v>
      </c>
      <c r="G19" s="30" t="s">
        <v>69</v>
      </c>
    </row>
    <row r="20" spans="1:12" ht="16" customHeight="1" x14ac:dyDescent="0.3">
      <c r="A20" s="30" t="s">
        <v>9</v>
      </c>
    </row>
    <row r="21" spans="1:12" ht="28.5" x14ac:dyDescent="0.3">
      <c r="A21" s="81" t="s">
        <v>5</v>
      </c>
      <c r="B21" s="82" t="s">
        <v>1</v>
      </c>
      <c r="C21" s="83" t="s">
        <v>6</v>
      </c>
      <c r="D21" s="77" t="s">
        <v>82</v>
      </c>
      <c r="E21" s="77" t="s">
        <v>83</v>
      </c>
      <c r="F21" s="95" t="s">
        <v>74</v>
      </c>
      <c r="H21" s="82" t="s">
        <v>26</v>
      </c>
      <c r="I21" s="82" t="s">
        <v>77</v>
      </c>
    </row>
    <row r="22" spans="1:12" x14ac:dyDescent="0.3">
      <c r="A22" s="81"/>
      <c r="B22" s="82"/>
      <c r="C22" s="83"/>
      <c r="D22" s="65">
        <f>INTERCEPT(C23:C35,B23:B35)</f>
        <v>2.8923076923076931</v>
      </c>
      <c r="E22" s="65">
        <f>SLOPE(C23:C35,B23:B35)</f>
        <v>0.40989010989010988</v>
      </c>
      <c r="F22" s="95"/>
      <c r="H22" s="82"/>
      <c r="I22" s="82"/>
    </row>
    <row r="23" spans="1:12" x14ac:dyDescent="0.3">
      <c r="A23" s="5">
        <v>1960</v>
      </c>
      <c r="B23" s="28">
        <v>1</v>
      </c>
      <c r="C23" s="5">
        <v>4.0999999999999996</v>
      </c>
      <c r="D23" s="65">
        <f>$B$39*C23+(1-$B$39)*(D22+E22)</f>
        <v>3.8606593406593408</v>
      </c>
      <c r="E23" s="65">
        <f>$B$40*(D23-D22)+(1-$B$40)*E22</f>
        <v>0.52158241758241752</v>
      </c>
      <c r="F23" s="65">
        <f>D22+E22</f>
        <v>3.3021978021978029</v>
      </c>
      <c r="G23" s="67" t="s">
        <v>53</v>
      </c>
      <c r="H23" s="69">
        <f>ABS(C23-F23)</f>
        <v>0.79780219780219674</v>
      </c>
      <c r="I23" s="70">
        <f>H23/C23</f>
        <v>0.19458590190297484</v>
      </c>
      <c r="K23" s="61" t="s">
        <v>14</v>
      </c>
      <c r="L23" s="72">
        <f>AVERAGE(H23:H35)</f>
        <v>0.39722789557194349</v>
      </c>
    </row>
    <row r="24" spans="1:12" x14ac:dyDescent="0.3">
      <c r="A24" s="5">
        <v>1965</v>
      </c>
      <c r="B24" s="28">
        <v>2</v>
      </c>
      <c r="C24" s="5">
        <v>4.2</v>
      </c>
      <c r="D24" s="65">
        <f t="shared" ref="D24:D35" si="3">$B$39*C24+(1-$B$39)*(D23+E23)</f>
        <v>4.2546725274725272</v>
      </c>
      <c r="E24" s="65">
        <f t="shared" ref="E24:E35" si="4">$B$40*(D24-D23)+(1-$B$40)*E23</f>
        <v>0.4960685714285713</v>
      </c>
      <c r="F24" s="65">
        <f t="shared" ref="F24:F36" si="5">D23+E23</f>
        <v>4.3822417582417579</v>
      </c>
      <c r="G24" s="67" t="s">
        <v>54</v>
      </c>
      <c r="H24" s="69">
        <f t="shared" ref="H24:H35" si="6">ABS(C24-F24)</f>
        <v>0.1822417582417577</v>
      </c>
      <c r="I24" s="70">
        <f t="shared" ref="I24:I35" si="7">H24/C24</f>
        <v>4.3390894819466119E-2</v>
      </c>
      <c r="K24" s="61" t="s">
        <v>15</v>
      </c>
      <c r="L24" s="74">
        <f>AVERAGE(I23:I35)</f>
        <v>6.9674601355549468E-2</v>
      </c>
    </row>
    <row r="25" spans="1:12" x14ac:dyDescent="0.3">
      <c r="A25" s="5">
        <v>1970</v>
      </c>
      <c r="B25" s="28">
        <v>3</v>
      </c>
      <c r="C25" s="5">
        <v>4.2</v>
      </c>
      <c r="D25" s="65">
        <f t="shared" si="3"/>
        <v>4.3652223296703294</v>
      </c>
      <c r="E25" s="65">
        <f t="shared" si="4"/>
        <v>0.41896481758241749</v>
      </c>
      <c r="F25" s="65">
        <f t="shared" si="5"/>
        <v>4.7507410989010985</v>
      </c>
      <c r="G25" s="67" t="s">
        <v>55</v>
      </c>
      <c r="H25" s="69">
        <f t="shared" si="6"/>
        <v>0.55074109890109835</v>
      </c>
      <c r="I25" s="70">
        <f t="shared" si="7"/>
        <v>0.13112883307169007</v>
      </c>
    </row>
    <row r="26" spans="1:12" x14ac:dyDescent="0.3">
      <c r="A26" s="5">
        <v>1975</v>
      </c>
      <c r="B26" s="28">
        <v>4</v>
      </c>
      <c r="C26" s="5">
        <v>4.2</v>
      </c>
      <c r="D26" s="65">
        <f t="shared" si="3"/>
        <v>4.3752561441758244</v>
      </c>
      <c r="E26" s="65">
        <f t="shared" si="4"/>
        <v>0.33717861696703305</v>
      </c>
      <c r="F26" s="65">
        <f t="shared" si="5"/>
        <v>4.7841871472527471</v>
      </c>
      <c r="G26" s="67" t="s">
        <v>56</v>
      </c>
      <c r="H26" s="69">
        <f t="shared" si="6"/>
        <v>0.5841871472527469</v>
      </c>
      <c r="I26" s="70">
        <f t="shared" si="7"/>
        <v>0.13909217791732068</v>
      </c>
    </row>
    <row r="27" spans="1:12" x14ac:dyDescent="0.3">
      <c r="A27" s="5">
        <v>1980</v>
      </c>
      <c r="B27" s="28">
        <v>5</v>
      </c>
      <c r="C27" s="5">
        <v>4.5999999999999996</v>
      </c>
      <c r="D27" s="65">
        <f t="shared" si="3"/>
        <v>4.6337304283428571</v>
      </c>
      <c r="E27" s="65">
        <f t="shared" si="4"/>
        <v>0.32143775040703298</v>
      </c>
      <c r="F27" s="65">
        <f t="shared" si="5"/>
        <v>4.7124347611428572</v>
      </c>
      <c r="G27" s="67" t="s">
        <v>57</v>
      </c>
      <c r="H27" s="69">
        <f t="shared" si="6"/>
        <v>0.11243476114285755</v>
      </c>
      <c r="I27" s="70">
        <f t="shared" si="7"/>
        <v>2.4442339378882079E-2</v>
      </c>
    </row>
    <row r="28" spans="1:12" x14ac:dyDescent="0.3">
      <c r="A28" s="5">
        <v>1985</v>
      </c>
      <c r="B28" s="28">
        <v>6</v>
      </c>
      <c r="C28" s="5">
        <v>5.0999999999999996</v>
      </c>
      <c r="D28" s="65">
        <f t="shared" si="3"/>
        <v>5.0565504536249666</v>
      </c>
      <c r="E28" s="65">
        <f t="shared" si="4"/>
        <v>0.34171420538204833</v>
      </c>
      <c r="F28" s="65">
        <f t="shared" si="5"/>
        <v>4.95516817874989</v>
      </c>
      <c r="G28" s="67" t="s">
        <v>58</v>
      </c>
      <c r="H28" s="69">
        <f t="shared" si="6"/>
        <v>0.14483182125010963</v>
      </c>
      <c r="I28" s="70">
        <f t="shared" si="7"/>
        <v>2.8398396323550908E-2</v>
      </c>
    </row>
    <row r="29" spans="1:12" x14ac:dyDescent="0.3">
      <c r="A29" s="5">
        <v>1990</v>
      </c>
      <c r="B29" s="28">
        <v>7</v>
      </c>
      <c r="C29" s="5">
        <v>5.5</v>
      </c>
      <c r="D29" s="65">
        <f t="shared" si="3"/>
        <v>5.4694793977021048</v>
      </c>
      <c r="E29" s="65">
        <f t="shared" si="4"/>
        <v>0.35595715312106635</v>
      </c>
      <c r="F29" s="65">
        <f t="shared" si="5"/>
        <v>5.3982646590070154</v>
      </c>
      <c r="G29" s="67" t="s">
        <v>59</v>
      </c>
      <c r="H29" s="69">
        <f t="shared" si="6"/>
        <v>0.10173534099298465</v>
      </c>
      <c r="I29" s="70">
        <f t="shared" si="7"/>
        <v>1.8497334725997207E-2</v>
      </c>
    </row>
    <row r="30" spans="1:12" x14ac:dyDescent="0.3">
      <c r="A30" s="5">
        <v>1995</v>
      </c>
      <c r="B30" s="28">
        <v>8</v>
      </c>
      <c r="C30" s="5">
        <v>5.7</v>
      </c>
      <c r="D30" s="65">
        <f t="shared" si="3"/>
        <v>5.737630965246951</v>
      </c>
      <c r="E30" s="65">
        <f t="shared" si="4"/>
        <v>0.33839603600582235</v>
      </c>
      <c r="F30" s="65">
        <f t="shared" si="5"/>
        <v>5.8254365508231709</v>
      </c>
      <c r="G30" s="67" t="s">
        <v>60</v>
      </c>
      <c r="H30" s="69">
        <f t="shared" si="6"/>
        <v>0.12543655082317073</v>
      </c>
      <c r="I30" s="70">
        <f t="shared" si="7"/>
        <v>2.2006412425117673E-2</v>
      </c>
    </row>
    <row r="31" spans="1:12" x14ac:dyDescent="0.3">
      <c r="A31" s="5">
        <v>2000</v>
      </c>
      <c r="B31" s="28">
        <v>9</v>
      </c>
      <c r="C31" s="5">
        <v>6.1</v>
      </c>
      <c r="D31" s="65">
        <f t="shared" si="3"/>
        <v>6.0928081003758319</v>
      </c>
      <c r="E31" s="65">
        <f t="shared" si="4"/>
        <v>0.34175225583043412</v>
      </c>
      <c r="F31" s="65">
        <f t="shared" si="5"/>
        <v>6.0760270012527737</v>
      </c>
      <c r="G31" s="67" t="s">
        <v>61</v>
      </c>
      <c r="H31" s="69">
        <f t="shared" si="6"/>
        <v>2.3972998747225915E-2</v>
      </c>
      <c r="I31" s="70">
        <f t="shared" si="7"/>
        <v>3.9299997946271991E-3</v>
      </c>
    </row>
    <row r="32" spans="1:12" x14ac:dyDescent="0.3">
      <c r="A32" s="5">
        <v>2005</v>
      </c>
      <c r="B32" s="28">
        <v>10</v>
      </c>
      <c r="C32" s="5">
        <v>6.3</v>
      </c>
      <c r="D32" s="65">
        <f t="shared" si="3"/>
        <v>6.3403681068618791</v>
      </c>
      <c r="E32" s="65">
        <f t="shared" si="4"/>
        <v>0.32291380596155678</v>
      </c>
      <c r="F32" s="65">
        <f t="shared" si="5"/>
        <v>6.4345603562062657</v>
      </c>
      <c r="G32" s="67" t="s">
        <v>62</v>
      </c>
      <c r="H32" s="69">
        <f t="shared" si="6"/>
        <v>0.13456035620626583</v>
      </c>
      <c r="I32" s="70">
        <f t="shared" si="7"/>
        <v>2.1358786699407276E-2</v>
      </c>
    </row>
    <row r="33" spans="1:9" x14ac:dyDescent="0.3">
      <c r="A33" s="5">
        <v>2010</v>
      </c>
      <c r="B33" s="28">
        <v>11</v>
      </c>
      <c r="C33" s="5">
        <v>6.9</v>
      </c>
      <c r="D33" s="65">
        <f t="shared" si="3"/>
        <v>6.8289845738470314</v>
      </c>
      <c r="E33" s="65">
        <f t="shared" si="4"/>
        <v>0.35605433816627591</v>
      </c>
      <c r="F33" s="65">
        <f t="shared" si="5"/>
        <v>6.663281912823436</v>
      </c>
      <c r="G33" s="67" t="s">
        <v>63</v>
      </c>
      <c r="H33" s="69">
        <f t="shared" si="6"/>
        <v>0.2367180871765644</v>
      </c>
      <c r="I33" s="70">
        <f t="shared" si="7"/>
        <v>3.4306969156023825E-2</v>
      </c>
    </row>
    <row r="34" spans="1:9" x14ac:dyDescent="0.3">
      <c r="A34" s="5">
        <v>2015</v>
      </c>
      <c r="B34" s="28">
        <v>12</v>
      </c>
      <c r="C34" s="5">
        <v>8.5</v>
      </c>
      <c r="D34" s="65">
        <f t="shared" si="3"/>
        <v>8.1055116736039921</v>
      </c>
      <c r="E34" s="65">
        <f t="shared" si="4"/>
        <v>0.54014889048441295</v>
      </c>
      <c r="F34" s="65">
        <f t="shared" si="5"/>
        <v>7.1850389120133071</v>
      </c>
      <c r="G34" s="67" t="s">
        <v>64</v>
      </c>
      <c r="H34" s="69">
        <f t="shared" si="6"/>
        <v>1.3149610879866929</v>
      </c>
      <c r="I34" s="70">
        <f t="shared" si="7"/>
        <v>0.15470130446902269</v>
      </c>
    </row>
    <row r="35" spans="1:9" x14ac:dyDescent="0.3">
      <c r="A35" s="5">
        <v>2020</v>
      </c>
      <c r="B35" s="28">
        <v>13</v>
      </c>
      <c r="C35" s="5">
        <v>9.5</v>
      </c>
      <c r="D35" s="65">
        <f t="shared" si="3"/>
        <v>9.243698169226521</v>
      </c>
      <c r="E35" s="65">
        <f t="shared" si="4"/>
        <v>0.65975641151203623</v>
      </c>
      <c r="F35" s="65">
        <f t="shared" si="5"/>
        <v>8.6456605640884057</v>
      </c>
      <c r="G35" s="67" t="s">
        <v>65</v>
      </c>
      <c r="H35" s="69">
        <f t="shared" si="6"/>
        <v>0.85433943591159434</v>
      </c>
      <c r="I35" s="70">
        <f t="shared" si="7"/>
        <v>8.9930466938062559E-2</v>
      </c>
    </row>
    <row r="36" spans="1:9" x14ac:dyDescent="0.3">
      <c r="A36" s="5">
        <v>2025</v>
      </c>
      <c r="B36" s="28">
        <v>14</v>
      </c>
      <c r="C36" s="29" t="s">
        <v>7</v>
      </c>
      <c r="D36" s="61"/>
      <c r="E36" s="61"/>
      <c r="F36" s="65">
        <f t="shared" si="5"/>
        <v>9.9034545807385577</v>
      </c>
      <c r="G36" s="67" t="s">
        <v>66</v>
      </c>
    </row>
    <row r="37" spans="1:9" x14ac:dyDescent="0.3">
      <c r="A37" s="5">
        <v>2030</v>
      </c>
      <c r="B37" s="28">
        <v>15</v>
      </c>
      <c r="C37" s="29" t="s">
        <v>7</v>
      </c>
      <c r="D37" s="61"/>
      <c r="E37" s="61"/>
      <c r="F37" s="65">
        <f>D35+2*(E35)</f>
        <v>10.563210992250593</v>
      </c>
      <c r="G37" s="67" t="s">
        <v>67</v>
      </c>
    </row>
    <row r="39" spans="1:9" x14ac:dyDescent="0.3">
      <c r="A39" s="28" t="s">
        <v>71</v>
      </c>
      <c r="B39" s="28">
        <v>0.7</v>
      </c>
    </row>
    <row r="40" spans="1:9" x14ac:dyDescent="0.3">
      <c r="A40" s="28" t="s">
        <v>72</v>
      </c>
      <c r="B40" s="28">
        <v>0.2</v>
      </c>
    </row>
  </sheetData>
  <mergeCells count="12">
    <mergeCell ref="F21:F22"/>
    <mergeCell ref="H21:H22"/>
    <mergeCell ref="I21:I22"/>
    <mergeCell ref="D2:D3"/>
    <mergeCell ref="E2:E3"/>
    <mergeCell ref="F2:F3"/>
    <mergeCell ref="A2:A3"/>
    <mergeCell ref="B2:B3"/>
    <mergeCell ref="C2:C3"/>
    <mergeCell ref="A21:A22"/>
    <mergeCell ref="B21:B22"/>
    <mergeCell ref="C21:C22"/>
  </mergeCells>
  <pageMargins left="0.7" right="0.7" top="0.75" bottom="0.75" header="0.3" footer="0.3"/>
  <pageSetup paperSize="9" orientation="portrait" r:id="rId1"/>
  <headerFooter>
    <oddHeader>&amp;C&amp;"Calibri"&amp;10&amp;K000000OFFICIAL (CLOSED) \ NON-SENSITIVE&amp;1#</oddHeader>
  </headerFooter>
  <drawing r:id="rId2"/>
</worksheet>
</file>

<file path=docMetadata/LabelInfo.xml><?xml version="1.0" encoding="utf-8"?>
<clbl:labelList xmlns:clbl="http://schemas.microsoft.com/office/2020/mipLabelMetadata">
  <clbl:label id="{b70f6a2e-9a0b-44bc-9fcb-55781401e2f0}" enabled="1" method="Standard" siteId="{f688b0d0-79f0-40a4-8644-35fcdee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</vt:lpstr>
      <vt:lpstr>WMA</vt:lpstr>
      <vt:lpstr>SES</vt:lpstr>
      <vt:lpstr>Product B</vt:lpstr>
      <vt:lpstr>LR</vt:lpstr>
      <vt:lpstr>Holt's &amp; LR</vt:lpstr>
      <vt:lpstr>Holt's &amp; LR (HC)</vt:lpstr>
    </vt:vector>
  </TitlesOfParts>
  <Company>Republic Polytechnic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 Siew Hui</dc:creator>
  <cp:lastModifiedBy>KOH WEI XUAN CELEST</cp:lastModifiedBy>
  <dcterms:created xsi:type="dcterms:W3CDTF">2004-08-09T11:44:22Z</dcterms:created>
  <dcterms:modified xsi:type="dcterms:W3CDTF">2026-02-17T14:17:49Z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-299445136</vt:i4>
  </property>
  <property fmtid="{D5CDD505-2E9C-101B-9397-08002B2CF9AE}" pid="3" name="_NewReviewCycle">
    <vt:lpwstr/>
  </property>
  <property fmtid="{D5CDD505-2E9C-101B-9397-08002B2CF9AE}" pid="4" name="_EmailSubject">
    <vt:lpwstr>P11 time series forecasting crafting</vt:lpwstr>
  </property>
  <property fmtid="{D5CDD505-2E9C-101B-9397-08002B2CF9AE}" pid="5" name="_AuthorEmail">
    <vt:lpwstr>ji_aidong@rp.sg</vt:lpwstr>
  </property>
  <property fmtid="{D5CDD505-2E9C-101B-9397-08002B2CF9AE}" pid="6" name="_AuthorEmailDisplayName">
    <vt:lpwstr>Ji Aidong</vt:lpwstr>
  </property>
  <property fmtid="{D5CDD505-2E9C-101B-9397-08002B2CF9AE}" pid="7" name="_ReviewingToolsShownOnce">
    <vt:lpwstr/>
  </property>
  <property fmtid="{D5CDD505-2E9C-101B-9397-08002B2CF9AE}" pid="8" name="MSIP_Label_b70f6a2e-9a0b-44bc-9fcb-55781401e2f0_Enabled">
    <vt:lpwstr>true</vt:lpwstr>
  </property>
  <property fmtid="{D5CDD505-2E9C-101B-9397-08002B2CF9AE}" pid="9" name="MSIP_Label_b70f6a2e-9a0b-44bc-9fcb-55781401e2f0_SetDate">
    <vt:lpwstr>2021-11-06T14:59:38Z</vt:lpwstr>
  </property>
  <property fmtid="{D5CDD505-2E9C-101B-9397-08002B2CF9AE}" pid="10" name="MSIP_Label_b70f6a2e-9a0b-44bc-9fcb-55781401e2f0_Method">
    <vt:lpwstr>Standard</vt:lpwstr>
  </property>
  <property fmtid="{D5CDD505-2E9C-101B-9397-08002B2CF9AE}" pid="11" name="MSIP_Label_b70f6a2e-9a0b-44bc-9fcb-55781401e2f0_Name">
    <vt:lpwstr>NON-SENSITIVE</vt:lpwstr>
  </property>
  <property fmtid="{D5CDD505-2E9C-101B-9397-08002B2CF9AE}" pid="12" name="MSIP_Label_b70f6a2e-9a0b-44bc-9fcb-55781401e2f0_SiteId">
    <vt:lpwstr>f688b0d0-79f0-40a4-8644-35fcdee9d0f3</vt:lpwstr>
  </property>
  <property fmtid="{D5CDD505-2E9C-101B-9397-08002B2CF9AE}" pid="13" name="MSIP_Label_b70f6a2e-9a0b-44bc-9fcb-55781401e2f0_ActionId">
    <vt:lpwstr>492b9c8a-2a28-461e-81d3-e851ae253b4c</vt:lpwstr>
  </property>
  <property fmtid="{D5CDD505-2E9C-101B-9397-08002B2CF9AE}" pid="14" name="MSIP_Label_b70f6a2e-9a0b-44bc-9fcb-55781401e2f0_ContentBits">
    <vt:lpwstr>1</vt:lpwstr>
  </property>
  <property fmtid="{D5CDD505-2E9C-101B-9397-08002B2CF9AE}" pid="15" name="WorkbookGuid">
    <vt:lpwstr>29496073-aa90-46c9-a3db-78c85629b615</vt:lpwstr>
  </property>
</Properties>
</file>