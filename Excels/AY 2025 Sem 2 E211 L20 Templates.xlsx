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ink/ink4.xml" ContentType="application/inkml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rp-my.sharepoint.com/personal/23050193_myrp_edu_sg/Documents/DSCM/Y3SEM2/E211 Operations Planning II/LLP03 Distribution Network Optimization (L15-L20)/"/>
    </mc:Choice>
  </mc:AlternateContent>
  <xr:revisionPtr revIDLastSave="1712" documentId="8_{95EACF9C-B631-420D-BD72-7CA2D0845123}" xr6:coauthVersionLast="47" xr6:coauthVersionMax="47" xr10:uidLastSave="{E8DA360A-D7FE-49B6-A6D2-3D1922AFCB99}"/>
  <bookViews>
    <workbookView minimized="1" xWindow="130" yWindow="710" windowWidth="19180" windowHeight="10060" tabRatio="633" xr2:uid="{00000000-000D-0000-FFFF-FFFF00000000}"/>
  </bookViews>
  <sheets>
    <sheet name="L20 MCF (WO arc cap)" sheetId="24" r:id="rId1"/>
    <sheet name="L20 MCF (with arc cap)" sheetId="15" r:id="rId2"/>
    <sheet name="L20 MCF (6a, S&lt;D)" sheetId="22" r:id="rId3"/>
    <sheet name="L20 MCF (6b, S&gt;D)" sheetId="23" r:id="rId4"/>
    <sheet name="Sheet1" sheetId="21" state="hidden" r:id="rId5"/>
  </sheets>
  <definedNames>
    <definedName name="solver_adj" localSheetId="2" hidden="1">'L20 MCF (6a, S&lt;D)'!$B$2:$B$15</definedName>
    <definedName name="solver_adj" localSheetId="3" hidden="1">'L20 MCF (6b, S&gt;D)'!$B$2:$B$15</definedName>
    <definedName name="solver_adj" localSheetId="1" hidden="1">'L20 MCF (with arc cap)'!$B$2:$B$15</definedName>
    <definedName name="solver_adj" localSheetId="0" hidden="1">'L20 MCF (WO arc cap)'!$B$2:$B$15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drv" localSheetId="0" hidden="1">1</definedName>
    <definedName name="solver_eng" localSheetId="2" hidden="1">2</definedName>
    <definedName name="solver_eng" localSheetId="3" hidden="1">2</definedName>
    <definedName name="solver_eng" localSheetId="1" hidden="1">2</definedName>
    <definedName name="solver_eng" localSheetId="0" hidden="1">2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est" localSheetId="0" hidden="1">1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itr" localSheetId="0" hidden="1">2147483647</definedName>
    <definedName name="solver_lhs1" localSheetId="2" hidden="1">'L20 MCF (6a, S&lt;D)'!$C$22:$C$25</definedName>
    <definedName name="solver_lhs1" localSheetId="3" hidden="1">'L20 MCF (6b, S&gt;D)'!$C$22:$C$24</definedName>
    <definedName name="solver_lhs1" localSheetId="1" hidden="1">'L20 MCF (with arc cap)'!$C$22:$C$31</definedName>
    <definedName name="solver_lhs1" localSheetId="0" hidden="1">'L20 MCF (WO arc cap)'!$C$22:$C$31</definedName>
    <definedName name="solver_lhs2" localSheetId="2" hidden="1">'L20 MCF (6a, S&lt;D)'!$C$26:$C$31</definedName>
    <definedName name="solver_lhs2" localSheetId="3" hidden="1">'L20 MCF (6b, S&gt;D)'!$C$25:$C$31</definedName>
    <definedName name="solver_lhs2" localSheetId="1" hidden="1">'L20 MCF (with arc cap)'!$C$34:$C$35</definedName>
    <definedName name="solver_lhs2" localSheetId="0" hidden="1">'L20 MCF (WO arc cap)'!$C$34:$C$35</definedName>
    <definedName name="solver_lhs3" localSheetId="2" hidden="1">'L20 MCF (6a, S&lt;D)'!$C$34:$C$35</definedName>
    <definedName name="solver_lhs3" localSheetId="3" hidden="1">'L20 MCF (6b, S&gt;D)'!$C$34:$C$35</definedName>
    <definedName name="solver_lhs3" localSheetId="1" hidden="1">'L20 MCF (with arc cap)'!#REF!</definedName>
    <definedName name="solver_lhs3" localSheetId="0" hidden="1">'L20 MCF (WO arc cap)'!#REF!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ip" localSheetId="0" hidden="1">2147483647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msl" localSheetId="0" hidden="1">2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eg" localSheetId="0" hidden="1">1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od" localSheetId="0" hidden="1">2147483647</definedName>
    <definedName name="solver_num" localSheetId="2" hidden="1">3</definedName>
    <definedName name="solver_num" localSheetId="3" hidden="1">3</definedName>
    <definedName name="solver_num" localSheetId="1" hidden="1">2</definedName>
    <definedName name="solver_num" localSheetId="0" hidden="1">1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nwt" localSheetId="0" hidden="1">1</definedName>
    <definedName name="solver_opt" localSheetId="2" hidden="1">'L20 MCF (6a, S&lt;D)'!$C$18</definedName>
    <definedName name="solver_opt" localSheetId="3" hidden="1">'L20 MCF (6b, S&gt;D)'!$C$18</definedName>
    <definedName name="solver_opt" localSheetId="1" hidden="1">'L20 MCF (with arc cap)'!$C$18</definedName>
    <definedName name="solver_opt" localSheetId="0" hidden="1">'L20 MCF (WO arc cap)'!$C$18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pre" localSheetId="0" hidden="1">0.000001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bv" localSheetId="0" hidden="1">1</definedName>
    <definedName name="solver_rel1" localSheetId="2" hidden="1">2</definedName>
    <definedName name="solver_rel1" localSheetId="3" hidden="1">1</definedName>
    <definedName name="solver_rel1" localSheetId="1" hidden="1">2</definedName>
    <definedName name="solver_rel1" localSheetId="0" hidden="1">2</definedName>
    <definedName name="solver_rel2" localSheetId="2" hidden="1">3</definedName>
    <definedName name="solver_rel2" localSheetId="3" hidden="1">2</definedName>
    <definedName name="solver_rel2" localSheetId="1" hidden="1">1</definedName>
    <definedName name="solver_rel2" localSheetId="0" hidden="1">1</definedName>
    <definedName name="solver_rel3" localSheetId="2" hidden="1">1</definedName>
    <definedName name="solver_rel3" localSheetId="3" hidden="1">1</definedName>
    <definedName name="solver_rel3" localSheetId="1" hidden="1">2</definedName>
    <definedName name="solver_rel3" localSheetId="0" hidden="1">2</definedName>
    <definedName name="solver_rhs1" localSheetId="2" hidden="1">'L20 MCF (6a, S&lt;D)'!$E$22:$E$25</definedName>
    <definedName name="solver_rhs1" localSheetId="3" hidden="1">'L20 MCF (6b, S&gt;D)'!$E$22:$E$24</definedName>
    <definedName name="solver_rhs1" localSheetId="1" hidden="1">'L20 MCF (with arc cap)'!$E$22:$E$31</definedName>
    <definedName name="solver_rhs1" localSheetId="0" hidden="1">'L20 MCF (WO arc cap)'!$E$22:$E$31</definedName>
    <definedName name="solver_rhs2" localSheetId="2" hidden="1">'L20 MCF (6a, S&lt;D)'!$E$26:$E$31</definedName>
    <definedName name="solver_rhs2" localSheetId="3" hidden="1">'L20 MCF (6b, S&gt;D)'!$E$25:$E$31</definedName>
    <definedName name="solver_rhs2" localSheetId="1" hidden="1">'L20 MCF (with arc cap)'!$E$34:$E$35</definedName>
    <definedName name="solver_rhs2" localSheetId="0" hidden="1">'L20 MCF (WO arc cap)'!$E$34:$E$35</definedName>
    <definedName name="solver_rhs3" localSheetId="2" hidden="1">'L20 MCF (6a, S&lt;D)'!$E$34:$E$35</definedName>
    <definedName name="solver_rhs3" localSheetId="3" hidden="1">'L20 MCF (6b, S&gt;D)'!$E$34:$E$35</definedName>
    <definedName name="solver_rhs3" localSheetId="1" hidden="1">'L20 MCF (with arc cap)'!#REF!</definedName>
    <definedName name="solver_rhs3" localSheetId="0" hidden="1">'L20 MCF (WO arc cap)'!#REF!</definedName>
    <definedName name="solver_rlx" localSheetId="2" hidden="1">2</definedName>
    <definedName name="solver_rlx" localSheetId="3" hidden="1">2</definedName>
    <definedName name="solver_rlx" localSheetId="1" hidden="1">2</definedName>
    <definedName name="solver_rlx" localSheetId="0" hidden="1">2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rsd" localSheetId="0" hidden="1">0</definedName>
    <definedName name="solver_scl" localSheetId="2" hidden="1">1</definedName>
    <definedName name="solver_scl" localSheetId="3" hidden="1">1</definedName>
    <definedName name="solver_scl" localSheetId="1" hidden="1">1</definedName>
    <definedName name="solver_scl" localSheetId="0" hidden="1">1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ho" localSheetId="0" hidden="1">2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ssz" localSheetId="0" hidden="1">100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im" localSheetId="0" hidden="1">2147483647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ol" localSheetId="0" hidden="1">0.01</definedName>
    <definedName name="solver_typ" localSheetId="2" hidden="1">2</definedName>
    <definedName name="solver_typ" localSheetId="3" hidden="1">2</definedName>
    <definedName name="solver_typ" localSheetId="1" hidden="1">2</definedName>
    <definedName name="solver_typ" localSheetId="0" hidden="1">2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al" localSheetId="0" hidden="1">0</definedName>
    <definedName name="solver_ver" localSheetId="2" hidden="1">3</definedName>
    <definedName name="solver_ver" localSheetId="3" hidden="1">3</definedName>
    <definedName name="solver_ver" localSheetId="1" hidden="1">3</definedName>
    <definedName name="solver_ver" localSheetId="0" hidden="1">3</definedName>
    <definedName name="WBBINbin" localSheetId="2">#REF!</definedName>
    <definedName name="WBBINbin" localSheetId="3">#REF!</definedName>
    <definedName name="WBBINbin" localSheetId="1">#REF!</definedName>
    <definedName name="WBBINbin" localSheetId="0">#REF!</definedName>
    <definedName name="WBBINbin">#REF!</definedName>
    <definedName name="WBINTint" localSheetId="2">#REF!</definedName>
    <definedName name="WBINTint" localSheetId="3">#REF!</definedName>
    <definedName name="WBINTint" localSheetId="1">#REF!</definedName>
    <definedName name="WBINTint" localSheetId="0">#REF!</definedName>
    <definedName name="WBINTint">#REF!</definedName>
    <definedName name="WBMIN" localSheetId="2">#REF!</definedName>
    <definedName name="WBMIN" localSheetId="3">#REF!</definedName>
    <definedName name="WBMIN" localSheetId="1">#REF!</definedName>
    <definedName name="WBMIN" localSheetId="0">#REF!</definedName>
    <definedName name="WBM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4" l="1"/>
  <c r="C30" i="24"/>
  <c r="C29" i="24"/>
  <c r="C28" i="24"/>
  <c r="C27" i="24"/>
  <c r="C26" i="24"/>
  <c r="C25" i="24"/>
  <c r="C24" i="24"/>
  <c r="C23" i="24"/>
  <c r="C22" i="24"/>
  <c r="C18" i="24"/>
  <c r="C35" i="23"/>
  <c r="C34" i="23"/>
  <c r="C31" i="23"/>
  <c r="C30" i="23"/>
  <c r="C29" i="23"/>
  <c r="C28" i="23"/>
  <c r="C27" i="23"/>
  <c r="C26" i="23"/>
  <c r="C25" i="23"/>
  <c r="C24" i="23"/>
  <c r="C23" i="23"/>
  <c r="C22" i="23"/>
  <c r="C18" i="23"/>
  <c r="C35" i="22"/>
  <c r="C34" i="22"/>
  <c r="C31" i="22"/>
  <c r="C30" i="22"/>
  <c r="C29" i="22"/>
  <c r="C28" i="22"/>
  <c r="C27" i="22"/>
  <c r="C26" i="22"/>
  <c r="C25" i="22"/>
  <c r="C24" i="22"/>
  <c r="C23" i="22"/>
  <c r="C22" i="22"/>
  <c r="C18" i="22"/>
  <c r="C35" i="15"/>
  <c r="C26" i="15"/>
  <c r="C34" i="15"/>
  <c r="C31" i="15"/>
  <c r="C30" i="15"/>
  <c r="C29" i="15"/>
  <c r="C28" i="15"/>
  <c r="C27" i="15"/>
  <c r="C25" i="15"/>
  <c r="C24" i="15"/>
  <c r="C23" i="15"/>
  <c r="C22" i="15"/>
  <c r="C18" i="15"/>
</calcChain>
</file>

<file path=xl/sharedStrings.xml><?xml version="1.0" encoding="utf-8"?>
<sst xmlns="http://schemas.openxmlformats.org/spreadsheetml/2006/main" count="242" uniqueCount="59">
  <si>
    <t>LHS</t>
  </si>
  <si>
    <t>Sign</t>
  </si>
  <si>
    <t>RHS</t>
  </si>
  <si>
    <t>Decision Variables</t>
  </si>
  <si>
    <t>Net Flow Constraints</t>
  </si>
  <si>
    <t>Unit Cost</t>
  </si>
  <si>
    <t>Amount Flow</t>
  </si>
  <si>
    <t xml:space="preserve">Minimize Total Cost = </t>
  </si>
  <si>
    <t xml:space="preserve">Supply Node 1: </t>
  </si>
  <si>
    <t>=</t>
  </si>
  <si>
    <t xml:space="preserve">Supply Node 5: </t>
  </si>
  <si>
    <t xml:space="preserve">Supply Node 10: </t>
  </si>
  <si>
    <t>Transhipment Node 2:</t>
  </si>
  <si>
    <t>Demand Node 3</t>
  </si>
  <si>
    <t>Demand Node 4</t>
  </si>
  <si>
    <t xml:space="preserve">Demand Node 6:                  </t>
  </si>
  <si>
    <r>
      <t xml:space="preserve">Demand Node 7:                   </t>
    </r>
    <r>
      <rPr>
        <b/>
        <vertAlign val="subscript"/>
        <sz val="14"/>
        <color rgb="FF000000"/>
        <rFont val="Calibri"/>
        <family val="2"/>
      </rPr>
      <t xml:space="preserve"> </t>
    </r>
  </si>
  <si>
    <t>Demand Node 8</t>
  </si>
  <si>
    <r>
      <t xml:space="preserve">Demand Node 9:                   </t>
    </r>
    <r>
      <rPr>
        <b/>
        <vertAlign val="subscript"/>
        <sz val="14"/>
        <color rgb="FF000000"/>
        <rFont val="Calibri"/>
        <family val="2"/>
      </rPr>
      <t xml:space="preserve"> </t>
    </r>
  </si>
  <si>
    <t>Arc 5-9</t>
  </si>
  <si>
    <t>Arc 10-3</t>
  </si>
  <si>
    <t>constraint equation LHS</t>
  </si>
  <si>
    <t>Arc Capacity Constraints</t>
  </si>
  <si>
    <t>X14</t>
  </si>
  <si>
    <t>X17</t>
  </si>
  <si>
    <t>X27</t>
  </si>
  <si>
    <t>X38</t>
  </si>
  <si>
    <t>X39</t>
  </si>
  <si>
    <t>X48</t>
  </si>
  <si>
    <t>X49</t>
  </si>
  <si>
    <t>X56</t>
  </si>
  <si>
    <t>X58</t>
  </si>
  <si>
    <t>X59</t>
  </si>
  <si>
    <t>X83</t>
  </si>
  <si>
    <t>X102</t>
  </si>
  <si>
    <t>X103</t>
  </si>
  <si>
    <t>X108</t>
  </si>
  <si>
    <t>X14+X17=1200</t>
  </si>
  <si>
    <t>X56+X58+X59=800</t>
  </si>
  <si>
    <t>X102+X103+X108=1000</t>
  </si>
  <si>
    <t>X27-X102=0</t>
  </si>
  <si>
    <t>X38+X39-X83-X103=-600</t>
  </si>
  <si>
    <t>X48+X49-X14=-800</t>
  </si>
  <si>
    <t>-X56=-300</t>
  </si>
  <si>
    <t>-X17-X27=-500</t>
  </si>
  <si>
    <t>X83-X38-X58-X108=-500</t>
  </si>
  <si>
    <t>-X39-X49-X59=-300</t>
  </si>
  <si>
    <t>X103 &lt;= 500</t>
  </si>
  <si>
    <t>X59 &lt;= 200</t>
  </si>
  <si>
    <t>&lt;=</t>
  </si>
  <si>
    <t>X14+X17=1000</t>
  </si>
  <si>
    <t>&gt;=</t>
  </si>
  <si>
    <t>Supply &gt; Demand</t>
  </si>
  <si>
    <t>We change the supply node sign to "&lt;="</t>
  </si>
  <si>
    <t>We change the demand node sign to "&gt;="</t>
  </si>
  <si>
    <t>3000 &gt; 2900</t>
  </si>
  <si>
    <t>When supply (2800) &lt; Demand (-3000),</t>
  </si>
  <si>
    <t>When supply (3000) &gt; Demand (-2900),</t>
  </si>
  <si>
    <t>X83-X38-X58-X108=-400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</si>
</sst>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vertAlign val="subscript"/>
      <sz val="14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0" fontId="7" fillId="0" borderId="0"/>
    <xf numFmtId="44" fontId="7" fillId="0" borderId="0" applyFont="0" applyFill="0" applyBorder="0" applyAlignment="0" applyProtection="0"/>
  </cellStyleXfs>
  <cellXfs count="20">
    <xf numFmtId="0" fontId="0" fillId="0" borderId="0" xfId="0"/>
    <xf numFmtId="0" fontId="6" fillId="0" borderId="1" xfId="1" applyFont="1" applyBorder="1" applyAlignment="1">
      <alignment horizontal="center"/>
    </xf>
    <xf numFmtId="0" fontId="5" fillId="0" borderId="0" xfId="1"/>
    <xf numFmtId="0" fontId="1" fillId="2" borderId="1" xfId="1" applyFont="1" applyFill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2" fillId="0" borderId="0" xfId="1" applyFont="1" applyAlignment="1">
      <alignment horizontal="right"/>
    </xf>
    <xf numFmtId="0" fontId="2" fillId="2" borderId="0" xfId="5" applyNumberFormat="1" applyFont="1" applyFill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 vertical="top" wrapText="1" readingOrder="1"/>
    </xf>
    <xf numFmtId="0" fontId="2" fillId="0" borderId="0" xfId="1" applyFont="1" applyAlignment="1">
      <alignment horizontal="center" vertical="center"/>
    </xf>
    <xf numFmtId="0" fontId="4" fillId="0" borderId="0" xfId="1" quotePrefix="1" applyFont="1" applyAlignment="1">
      <alignment horizontal="left" vertical="top" wrapText="1" readingOrder="1"/>
    </xf>
    <xf numFmtId="0" fontId="2" fillId="0" borderId="0" xfId="1" quotePrefix="1" applyFont="1"/>
    <xf numFmtId="0" fontId="2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12" fillId="0" borderId="0" xfId="1" applyFont="1"/>
    <xf numFmtId="0" fontId="11" fillId="0" borderId="0" xfId="1" applyFont="1"/>
    <xf numFmtId="0" fontId="13" fillId="0" borderId="0" xfId="1" applyFont="1"/>
    <xf numFmtId="0" fontId="14" fillId="0" borderId="0" xfId="1" applyFont="1"/>
  </cellXfs>
  <cellStyles count="6">
    <cellStyle name="Currency 2" xfId="5" xr:uid="{492979C6-DBB7-4F9B-9DDF-51D2B716FB2C}"/>
    <cellStyle name="Normal" xfId="0" builtinId="0"/>
    <cellStyle name="Normal 2" xfId="1" xr:uid="{00000000-0005-0000-0000-000001000000}"/>
    <cellStyle name="Normal 2 2" xfId="2" xr:uid="{4EE67DB8-DA79-4484-8300-D6CA9B65AD61}"/>
    <cellStyle name="Normal 3" xfId="3" xr:uid="{E06272EF-3488-4619-8739-9A80ABBDAFC6}"/>
    <cellStyle name="Normal 4" xfId="4" xr:uid="{CC80AD7D-54DD-4363-B54B-B50687DC5C3A}"/>
  </cellStyles>
  <dxfs count="0"/>
  <tableStyles count="1" defaultTableStyle="TableStyleMedium2" defaultPivotStyle="PivotStyleLight16">
    <tableStyle name="MySqlDefault" pivot="0" table="0" count="0" xr9:uid="{28070A6F-ADAA-40D1-ADB9-76295720F2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5.png"/><Relationship Id="rId7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1.png"/><Relationship Id="rId5" Type="http://schemas.openxmlformats.org/officeDocument/2006/relationships/image" Target="../media/image40.png"/><Relationship Id="rId10" Type="http://schemas.openxmlformats.org/officeDocument/2006/relationships/image" Target="../media/image8.png"/><Relationship Id="rId4" Type="http://schemas.openxmlformats.org/officeDocument/2006/relationships/customXml" Target="../ink/ink1.xml"/><Relationship Id="rId9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1.png"/><Relationship Id="rId7" Type="http://schemas.openxmlformats.org/officeDocument/2006/relationships/image" Target="../media/image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7.png"/><Relationship Id="rId5" Type="http://schemas.openxmlformats.org/officeDocument/2006/relationships/image" Target="../media/image80.png"/><Relationship Id="rId10" Type="http://schemas.openxmlformats.org/officeDocument/2006/relationships/image" Target="../media/image12.png"/><Relationship Id="rId4" Type="http://schemas.openxmlformats.org/officeDocument/2006/relationships/customXml" Target="../ink/ink3.xml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415077</xdr:colOff>
      <xdr:row>6</xdr:row>
      <xdr:rowOff>191231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D3B7B-02F5-5D80-24FB-BED0E45C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2396" y="0"/>
          <a:ext cx="5296639" cy="1448002"/>
        </a:xfrm>
        <a:prstGeom prst="rect">
          <a:avLst/>
        </a:prstGeom>
      </xdr:spPr>
    </xdr:pic>
    <xdr:clientData/>
  </xdr:twoCellAnchor>
  <xdr:twoCellAnchor editAs="oneCell">
    <xdr:from>
      <xdr:col>8</xdr:col>
      <xdr:colOff>582083</xdr:colOff>
      <xdr:row>6</xdr:row>
      <xdr:rowOff>105834</xdr:rowOff>
    </xdr:from>
    <xdr:to>
      <xdr:col>13</xdr:col>
      <xdr:colOff>447897</xdr:colOff>
      <xdr:row>18</xdr:row>
      <xdr:rowOff>26253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771713-EABF-B1D6-DDDB-A6D27B59B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79479" y="1362605"/>
          <a:ext cx="5382376" cy="23148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15</xdr:col>
      <xdr:colOff>556061</xdr:colOff>
      <xdr:row>2</xdr:row>
      <xdr:rowOff>89430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BAED31-C0C0-35B6-1A91-9B717A707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3304" y="0"/>
          <a:ext cx="6373114" cy="54300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13</xdr:col>
      <xdr:colOff>76842</xdr:colOff>
      <xdr:row>10</xdr:row>
      <xdr:rowOff>31943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5FA662-84CD-07F0-DC7C-0EEABBC1F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3304" y="646339"/>
          <a:ext cx="4601217" cy="1381318"/>
        </a:xfrm>
        <a:prstGeom prst="rect">
          <a:avLst/>
        </a:prstGeom>
      </xdr:spPr>
    </xdr:pic>
    <xdr:clientData/>
  </xdr:twoCellAnchor>
  <xdr:twoCellAnchor editAs="oneCell">
    <xdr:from>
      <xdr:col>6</xdr:col>
      <xdr:colOff>45358</xdr:colOff>
      <xdr:row>10</xdr:row>
      <xdr:rowOff>113393</xdr:rowOff>
    </xdr:from>
    <xdr:to>
      <xdr:col>12</xdr:col>
      <xdr:colOff>566965</xdr:colOff>
      <xdr:row>19</xdr:row>
      <xdr:rowOff>168284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2F435E-D282-21BF-8991-77D037281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08662" y="2109107"/>
          <a:ext cx="4399642" cy="1908669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476240</xdr:colOff>
      <xdr:row>5</xdr:row>
      <xdr:rowOff>180965</xdr:rowOff>
    </xdr:from>
    <xdr:to>
      <xdr:col>12</xdr:col>
      <xdr:colOff>219421</xdr:colOff>
      <xdr:row>5</xdr:row>
      <xdr:rowOff>181325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B2271E0-26F3-31E6-D957-037DD4F4DEB7}"/>
                </a:ext>
              </a:extLst>
            </xdr14:cNvPr>
            <xdr14:cNvContentPartPr/>
          </xdr14:nvContentPartPr>
          <xdr14:nvPr macro=""/>
          <xdr14:xfrm>
            <a:off x="11271240" y="1212840"/>
            <a:ext cx="38952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B2271E0-26F3-31E6-D957-037DD4F4DEB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235240" y="1141200"/>
              <a:ext cx="4611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1379484</xdr:colOff>
      <xdr:row>2</xdr:row>
      <xdr:rowOff>65690</xdr:rowOff>
    </xdr:from>
    <xdr:to>
      <xdr:col>19</xdr:col>
      <xdr:colOff>512244</xdr:colOff>
      <xdr:row>9</xdr:row>
      <xdr:rowOff>134210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01EB51-004F-4CD8-8BC2-E44B96A8F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47329" y="525518"/>
          <a:ext cx="5296639" cy="1448002"/>
        </a:xfrm>
        <a:prstGeom prst="rect">
          <a:avLst/>
        </a:prstGeom>
      </xdr:spPr>
    </xdr:pic>
    <xdr:clientData/>
  </xdr:twoCellAnchor>
  <xdr:twoCellAnchor editAs="oneCell">
    <xdr:from>
      <xdr:col>16</xdr:col>
      <xdr:colOff>117592</xdr:colOff>
      <xdr:row>9</xdr:row>
      <xdr:rowOff>58796</xdr:rowOff>
    </xdr:from>
    <xdr:to>
      <xdr:col>19</xdr:col>
      <xdr:colOff>587963</xdr:colOff>
      <xdr:row>19</xdr:row>
      <xdr:rowOff>179267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913F8C-B633-DF59-960B-1329905B2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40092" y="1916759"/>
          <a:ext cx="5091760" cy="2225378"/>
        </a:xfrm>
        <a:prstGeom prst="rect">
          <a:avLst/>
        </a:prstGeom>
      </xdr:spPr>
    </xdr:pic>
    <xdr:clientData/>
  </xdr:twoCellAnchor>
  <xdr:twoCellAnchor editAs="oneCell">
    <xdr:from>
      <xdr:col>15</xdr:col>
      <xdr:colOff>295233</xdr:colOff>
      <xdr:row>22</xdr:row>
      <xdr:rowOff>358</xdr:rowOff>
    </xdr:from>
    <xdr:to>
      <xdr:col>19</xdr:col>
      <xdr:colOff>1096817</xdr:colOff>
      <xdr:row>28</xdr:row>
      <xdr:rowOff>155109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5DCEEF-D378-0D0C-8709-4303B36D4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664869" y="4618540"/>
          <a:ext cx="6978403" cy="1655660"/>
        </a:xfrm>
        <a:prstGeom prst="rect">
          <a:avLst/>
        </a:prstGeom>
      </xdr:spPr>
    </xdr:pic>
    <xdr:clientData/>
  </xdr:twoCellAnchor>
  <xdr:twoCellAnchor editAs="oneCell">
    <xdr:from>
      <xdr:col>11</xdr:col>
      <xdr:colOff>438825</xdr:colOff>
      <xdr:row>9</xdr:row>
      <xdr:rowOff>44553</xdr:rowOff>
    </xdr:from>
    <xdr:to>
      <xdr:col>12</xdr:col>
      <xdr:colOff>199800</xdr:colOff>
      <xdr:row>9</xdr:row>
      <xdr:rowOff>69033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F35DB14-621A-B8AF-07AC-F940A4709FFF}"/>
                </a:ext>
              </a:extLst>
            </xdr14:cNvPr>
            <xdr14:cNvContentPartPr/>
          </xdr14:nvContentPartPr>
          <xdr14:nvPr macro=""/>
          <xdr14:xfrm>
            <a:off x="11222280" y="1880280"/>
            <a:ext cx="407520" cy="24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F35DB14-621A-B8AF-07AC-F940A4709FF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186280" y="1808280"/>
              <a:ext cx="479160" cy="168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634963</xdr:colOff>
      <xdr:row>0</xdr:row>
      <xdr:rowOff>219106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93F77-C9FB-DCFD-6D1A-076E19127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7273" y="0"/>
          <a:ext cx="3867690" cy="21910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14</xdr:col>
      <xdr:colOff>142083</xdr:colOff>
      <xdr:row>7</xdr:row>
      <xdr:rowOff>165575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886CC3-A9FE-97EF-4455-7B56B478E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7273" y="265545"/>
          <a:ext cx="4667901" cy="134321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14</xdr:col>
      <xdr:colOff>199241</xdr:colOff>
      <xdr:row>19</xdr:row>
      <xdr:rowOff>790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BAB7C5-D7F5-33E3-1EEA-573AA4DD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7273" y="1639455"/>
          <a:ext cx="4725059" cy="2219635"/>
        </a:xfrm>
        <a:prstGeom prst="rect">
          <a:avLst/>
        </a:prstGeom>
      </xdr:spPr>
    </xdr:pic>
    <xdr:clientData/>
  </xdr:twoCellAnchor>
  <xdr:twoCellAnchor editAs="oneCell">
    <xdr:from>
      <xdr:col>13</xdr:col>
      <xdr:colOff>27104</xdr:colOff>
      <xdr:row>16</xdr:row>
      <xdr:rowOff>242</xdr:rowOff>
    </xdr:from>
    <xdr:to>
      <xdr:col>13</xdr:col>
      <xdr:colOff>351464</xdr:colOff>
      <xdr:row>16</xdr:row>
      <xdr:rowOff>602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0E57516-B6BA-E3C7-126E-FCAC1E61208A}"/>
                </a:ext>
              </a:extLst>
            </xdr14:cNvPr>
            <xdr14:cNvContentPartPr/>
          </xdr14:nvContentPartPr>
          <xdr14:nvPr macro=""/>
          <xdr14:xfrm>
            <a:off x="12011040" y="3350880"/>
            <a:ext cx="324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0E57516-B6BA-E3C7-126E-FCAC1E61208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975040" y="3278880"/>
              <a:ext cx="3960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304800</xdr:colOff>
      <xdr:row>23</xdr:row>
      <xdr:rowOff>6350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5394D28B-50C0-872C-A53B-7026D4D41AC3}"/>
            </a:ext>
          </a:extLst>
        </xdr:cNvPr>
        <xdr:cNvSpPr>
          <a:spLocks noChangeAspect="1" noChangeArrowheads="1"/>
        </xdr:cNvSpPr>
      </xdr:nvSpPr>
      <xdr:spPr bwMode="auto">
        <a:xfrm>
          <a:off x="15887700" y="45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135106</xdr:colOff>
      <xdr:row>20</xdr:row>
      <xdr:rowOff>40533</xdr:rowOff>
    </xdr:from>
    <xdr:to>
      <xdr:col>26</xdr:col>
      <xdr:colOff>405319</xdr:colOff>
      <xdr:row>27</xdr:row>
      <xdr:rowOff>5484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037FE6-2684-42DD-A637-1AA8B9199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89042" y="4188299"/>
          <a:ext cx="7255213" cy="1721334"/>
        </a:xfrm>
        <a:prstGeom prst="rect">
          <a:avLst/>
        </a:prstGeom>
      </xdr:spPr>
    </xdr:pic>
    <xdr:clientData/>
  </xdr:twoCellAnchor>
  <xdr:twoCellAnchor editAs="oneCell">
    <xdr:from>
      <xdr:col>18</xdr:col>
      <xdr:colOff>40532</xdr:colOff>
      <xdr:row>0</xdr:row>
      <xdr:rowOff>0</xdr:rowOff>
    </xdr:from>
    <xdr:to>
      <xdr:col>26</xdr:col>
      <xdr:colOff>270111</xdr:colOff>
      <xdr:row>6</xdr:row>
      <xdr:rowOff>172429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5934BB-C46A-401D-AB82-40CC29C2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199468" y="0"/>
          <a:ext cx="5309579" cy="1442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325731</xdr:colOff>
      <xdr:row>6</xdr:row>
      <xdr:rowOff>97015</xdr:rowOff>
    </xdr:from>
    <xdr:to>
      <xdr:col>26</xdr:col>
      <xdr:colOff>345830</xdr:colOff>
      <xdr:row>17</xdr:row>
      <xdr:rowOff>14336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02BD717-1578-4BD4-83AA-C81EC2E40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484667" y="1367015"/>
          <a:ext cx="5100099" cy="2187108"/>
        </a:xfrm>
        <a:prstGeom prst="rect">
          <a:avLst/>
        </a:prstGeom>
      </xdr:spPr>
    </xdr:pic>
    <xdr:clientData/>
  </xdr:twoCellAnchor>
  <xdr:twoCellAnchor editAs="oneCell">
    <xdr:from>
      <xdr:col>12</xdr:col>
      <xdr:colOff>634384</xdr:colOff>
      <xdr:row>18</xdr:row>
      <xdr:rowOff>67412</xdr:rowOff>
    </xdr:from>
    <xdr:to>
      <xdr:col>13</xdr:col>
      <xdr:colOff>330944</xdr:colOff>
      <xdr:row>18</xdr:row>
      <xdr:rowOff>81452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46477AF-219F-965C-DF28-788263238B3B}"/>
                </a:ext>
              </a:extLst>
            </xdr14:cNvPr>
            <xdr14:cNvContentPartPr/>
          </xdr14:nvContentPartPr>
          <xdr14:nvPr macro=""/>
          <xdr14:xfrm>
            <a:off x="11983320" y="3836880"/>
            <a:ext cx="331560" cy="14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46477AF-219F-965C-DF28-788263238B3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947680" y="3764880"/>
              <a:ext cx="403200" cy="157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484860</xdr:colOff>
      <xdr:row>34</xdr:row>
      <xdr:rowOff>3995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AA067B0-7B61-487D-870F-57EBB3DC0DB6}"/>
            </a:ext>
          </a:extLst>
        </xdr:cNvPr>
        <xdr:cNvGrpSpPr/>
      </xdr:nvGrpSpPr>
      <xdr:grpSpPr>
        <a:xfrm>
          <a:off x="0" y="0"/>
          <a:ext cx="5954931" cy="6172566"/>
          <a:chOff x="6567841" y="148167"/>
          <a:chExt cx="5957653" cy="625035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EF9E2E49-7396-BE58-C082-F4254397474E}"/>
              </a:ext>
            </a:extLst>
          </xdr:cNvPr>
          <xdr:cNvGrpSpPr/>
        </xdr:nvGrpSpPr>
        <xdr:grpSpPr>
          <a:xfrm>
            <a:off x="6567841" y="148167"/>
            <a:ext cx="5957653" cy="6250354"/>
            <a:chOff x="7135064" y="118205"/>
            <a:chExt cx="5965635" cy="618154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6544F085-9BA8-04EE-C8EC-A06614712466}"/>
                </a:ext>
              </a:extLst>
            </xdr:cNvPr>
            <xdr:cNvGrpSpPr/>
          </xdr:nvGrpSpPr>
          <xdr:grpSpPr>
            <a:xfrm>
              <a:off x="7135064" y="118205"/>
              <a:ext cx="5965635" cy="6181540"/>
              <a:chOff x="7149176" y="125260"/>
              <a:chExt cx="5965635" cy="6181540"/>
            </a:xfrm>
          </xdr:grpSpPr>
          <xdr:sp macro="" textlink="">
            <xdr:nvSpPr>
              <xdr:cNvPr id="7" name="TextBox 6">
                <a:extLst>
                  <a:ext uri="{FF2B5EF4-FFF2-40B4-BE49-F238E27FC236}">
                    <a16:creationId xmlns:a16="http://schemas.microsoft.com/office/drawing/2014/main" id="{DE2D3D39-AFD9-16EA-990A-214A39F3CC9B}"/>
                  </a:ext>
                </a:extLst>
              </xdr:cNvPr>
              <xdr:cNvSpPr txBox="1"/>
            </xdr:nvSpPr>
            <xdr:spPr>
              <a:xfrm rot="2592353">
                <a:off x="7494955" y="1633292"/>
                <a:ext cx="1226534" cy="34235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none" rtlCol="0" anchor="t">
                <a:noAutofit/>
              </a:bodyPr>
              <a:lstStyle/>
              <a:p>
                <a:r>
                  <a:rPr lang="en-GB" sz="1400"/>
                  <a:t>(u59 = 200)</a:t>
                </a:r>
              </a:p>
            </xdr:txBody>
          </xdr:sp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D27DE778-8E1A-46FB-4784-0B4A8AB833F9}"/>
                  </a:ext>
                </a:extLst>
              </xdr:cNvPr>
              <xdr:cNvGrpSpPr/>
            </xdr:nvGrpSpPr>
            <xdr:grpSpPr>
              <a:xfrm>
                <a:off x="7149176" y="125260"/>
                <a:ext cx="5965635" cy="6181540"/>
                <a:chOff x="7149176" y="125260"/>
                <a:chExt cx="5965635" cy="6181540"/>
              </a:xfrm>
            </xdr:grpSpPr>
            <xdr:grpSp>
              <xdr:nvGrpSpPr>
                <xdr:cNvPr id="9" name="Group 8">
                  <a:extLst>
                    <a:ext uri="{FF2B5EF4-FFF2-40B4-BE49-F238E27FC236}">
                      <a16:creationId xmlns:a16="http://schemas.microsoft.com/office/drawing/2014/main" id="{9345749F-ADB6-5DE6-BB7C-B6A0C8A480AE}"/>
                    </a:ext>
                  </a:extLst>
                </xdr:cNvPr>
                <xdr:cNvGrpSpPr/>
              </xdr:nvGrpSpPr>
              <xdr:grpSpPr>
                <a:xfrm>
                  <a:off x="7149176" y="125260"/>
                  <a:ext cx="5965635" cy="6181540"/>
                  <a:chOff x="7119004" y="155720"/>
                  <a:chExt cx="6020501" cy="5847692"/>
                </a:xfrm>
              </xdr:grpSpPr>
              <xdr:grpSp>
                <xdr:nvGrpSpPr>
                  <xdr:cNvPr id="11" name="Group 10">
                    <a:extLst>
                      <a:ext uri="{FF2B5EF4-FFF2-40B4-BE49-F238E27FC236}">
                        <a16:creationId xmlns:a16="http://schemas.microsoft.com/office/drawing/2014/main" id="{F8EA599A-607D-1FB6-D906-0A9BB0089A21}"/>
                      </a:ext>
                    </a:extLst>
                  </xdr:cNvPr>
                  <xdr:cNvGrpSpPr/>
                </xdr:nvGrpSpPr>
                <xdr:grpSpPr>
                  <a:xfrm>
                    <a:off x="7119004" y="155720"/>
                    <a:ext cx="6020501" cy="5847692"/>
                    <a:chOff x="7281281" y="127497"/>
                    <a:chExt cx="6020501" cy="5847692"/>
                  </a:xfrm>
                </xdr:grpSpPr>
                <xdr:grpSp>
                  <xdr:nvGrpSpPr>
                    <xdr:cNvPr id="13" name="Group 12">
                      <a:extLst>
                        <a:ext uri="{FF2B5EF4-FFF2-40B4-BE49-F238E27FC236}">
                          <a16:creationId xmlns:a16="http://schemas.microsoft.com/office/drawing/2014/main" id="{8F37CE9F-3B67-7B65-34C1-7EF17DB74361}"/>
                        </a:ext>
                      </a:extLst>
                    </xdr:cNvPr>
                    <xdr:cNvGrpSpPr/>
                  </xdr:nvGrpSpPr>
                  <xdr:grpSpPr>
                    <a:xfrm>
                      <a:off x="7281281" y="127497"/>
                      <a:ext cx="6020501" cy="5547227"/>
                      <a:chOff x="6708832" y="423467"/>
                      <a:chExt cx="6028669" cy="5757202"/>
                    </a:xfrm>
                  </xdr:grpSpPr>
                  <xdr:sp macro="" textlink="">
                    <xdr:nvSpPr>
                      <xdr:cNvPr id="15" name="TextBox 14">
                        <a:extLst>
                          <a:ext uri="{FF2B5EF4-FFF2-40B4-BE49-F238E27FC236}">
                            <a16:creationId xmlns:a16="http://schemas.microsoft.com/office/drawing/2014/main" id="{6ADEB918-AFA2-D4E1-1F3F-C75BB8E44AD7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8836547" y="1178378"/>
                        <a:ext cx="425914" cy="324041"/>
                      </a:xfrm>
                      <a:prstGeom prst="rect">
                        <a:avLst/>
                      </a:prstGeom>
                      <a:noFill/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wrap="none" rtlCol="0" anchor="t">
                        <a:noAutofit/>
                      </a:bodyPr>
                      <a:lstStyle/>
                      <a:p>
                        <a:r>
                          <a:rPr lang="en-GB" sz="1400"/>
                          <a:t>[-300]</a:t>
                        </a:r>
                      </a:p>
                    </xdr:txBody>
                  </xdr:sp>
                  <xdr:sp macro="" textlink="">
                    <xdr:nvSpPr>
                      <xdr:cNvPr id="16" name="Oval 15">
                        <a:extLst>
                          <a:ext uri="{FF2B5EF4-FFF2-40B4-BE49-F238E27FC236}">
                            <a16:creationId xmlns:a16="http://schemas.microsoft.com/office/drawing/2014/main" id="{23DE4D43-BD6B-6113-E115-ECEE8B2C22A9}"/>
                          </a:ext>
                        </a:extLst>
                      </xdr:cNvPr>
                      <xdr:cNvSpPr/>
                    </xdr:nvSpPr>
                    <xdr:spPr>
                      <a:xfrm>
                        <a:off x="8445500" y="4621389"/>
                        <a:ext cx="388055" cy="388056"/>
                      </a:xfrm>
                      <a:prstGeom prst="ellipse">
                        <a:avLst/>
                      </a:prstGeom>
                      <a:solidFill>
                        <a:schemeClr val="tx2">
                          <a:lumMod val="40000"/>
                          <a:lumOff val="60000"/>
                        </a:schemeClr>
                      </a:solidFill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rtlCol="0" anchor="ctr"/>
                      <a:lstStyle/>
                      <a:p>
                        <a:pPr algn="ctr"/>
                        <a:r>
                          <a:rPr lang="en-GB" sz="1200">
                            <a:solidFill>
                              <a:sysClr val="windowText" lastClr="000000"/>
                            </a:solidFill>
                          </a:rPr>
                          <a:t>1</a:t>
                        </a:r>
                      </a:p>
                    </xdr:txBody>
                  </xdr:sp>
                  <xdr:grpSp>
                    <xdr:nvGrpSpPr>
                      <xdr:cNvPr id="17" name="Group 16">
                        <a:extLst>
                          <a:ext uri="{FF2B5EF4-FFF2-40B4-BE49-F238E27FC236}">
                            <a16:creationId xmlns:a16="http://schemas.microsoft.com/office/drawing/2014/main" id="{ADA25606-432A-083B-B81C-F03AE5B42FFE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6708832" y="423467"/>
                        <a:ext cx="6028669" cy="5757202"/>
                        <a:chOff x="6708832" y="423467"/>
                        <a:chExt cx="6028669" cy="5757202"/>
                      </a:xfrm>
                    </xdr:grpSpPr>
                    <xdr:sp macro="" textlink="">
                      <xdr:nvSpPr>
                        <xdr:cNvPr id="18" name="TextBox 17">
                          <a:extLst>
                            <a:ext uri="{FF2B5EF4-FFF2-40B4-BE49-F238E27FC236}">
                              <a16:creationId xmlns:a16="http://schemas.microsoft.com/office/drawing/2014/main" id="{D2D13311-1DD3-5381-1721-36DB41D14C84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089161" y="5034412"/>
                          <a:ext cx="456086" cy="324041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30</a:t>
                          </a:r>
                        </a:p>
                      </xdr:txBody>
                    </xdr:sp>
                    <xdr:sp macro="" textlink="">
                      <xdr:nvSpPr>
                        <xdr:cNvPr id="19" name="TextBox 18">
                          <a:extLst>
                            <a:ext uri="{FF2B5EF4-FFF2-40B4-BE49-F238E27FC236}">
                              <a16:creationId xmlns:a16="http://schemas.microsoft.com/office/drawing/2014/main" id="{5E23F8E1-D695-58EC-1594-A54F4BFE62F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1037108" y="4145896"/>
                          <a:ext cx="553778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/>
                            <a:t>[0]</a:t>
                          </a:r>
                        </a:p>
                      </xdr:txBody>
                    </xdr:sp>
                    <xdr:sp macro="" textlink="">
                      <xdr:nvSpPr>
                        <xdr:cNvPr id="20" name="TextBox 19">
                          <a:extLst>
                            <a:ext uri="{FF2B5EF4-FFF2-40B4-BE49-F238E27FC236}">
                              <a16:creationId xmlns:a16="http://schemas.microsoft.com/office/drawing/2014/main" id="{146F4620-A7AD-5281-A434-49D86C38BD25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6708832" y="832033"/>
                          <a:ext cx="708132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/>
                            <a:t>[-300]</a:t>
                          </a:r>
                        </a:p>
                      </xdr:txBody>
                    </xdr:sp>
                    <xdr:sp macro="" textlink="">
                      <xdr:nvSpPr>
                        <xdr:cNvPr id="21" name="TextBox 20">
                          <a:extLst>
                            <a:ext uri="{FF2B5EF4-FFF2-40B4-BE49-F238E27FC236}">
                              <a16:creationId xmlns:a16="http://schemas.microsoft.com/office/drawing/2014/main" id="{5AC49D78-5C8B-1CFE-3D47-505CBB0D0071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493111" y="3141210"/>
                          <a:ext cx="449288" cy="326090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/>
                            <a:t>[-500]</a:t>
                          </a:r>
                        </a:p>
                      </xdr:txBody>
                    </xdr:sp>
                    <xdr:sp macro="" textlink="">
                      <xdr:nvSpPr>
                        <xdr:cNvPr id="22" name="TextBox 21">
                          <a:extLst>
                            <a:ext uri="{FF2B5EF4-FFF2-40B4-BE49-F238E27FC236}">
                              <a16:creationId xmlns:a16="http://schemas.microsoft.com/office/drawing/2014/main" id="{6DB86E10-F338-7DB8-27E9-4D9B28C7E3FA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687350" y="1682848"/>
                          <a:ext cx="405745" cy="311159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30</a:t>
                          </a:r>
                        </a:p>
                      </xdr:txBody>
                    </xdr:sp>
                    <xdr:sp macro="" textlink="">
                      <xdr:nvSpPr>
                        <xdr:cNvPr id="23" name="TextBox 22">
                          <a:extLst>
                            <a:ext uri="{FF2B5EF4-FFF2-40B4-BE49-F238E27FC236}">
                              <a16:creationId xmlns:a16="http://schemas.microsoft.com/office/drawing/2014/main" id="{2562B1FA-781E-6624-94E2-581D6387355F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863076" y="1974725"/>
                          <a:ext cx="405745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20</a:t>
                          </a:r>
                        </a:p>
                      </xdr:txBody>
                    </xdr:sp>
                    <xdr:sp macro="" textlink="">
                      <xdr:nvSpPr>
                        <xdr:cNvPr id="24" name="TextBox 23">
                          <a:extLst>
                            <a:ext uri="{FF2B5EF4-FFF2-40B4-BE49-F238E27FC236}">
                              <a16:creationId xmlns:a16="http://schemas.microsoft.com/office/drawing/2014/main" id="{DA669259-0EF2-B4EE-515D-D90B4C62B9B2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103488" y="2645395"/>
                          <a:ext cx="405745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15</a:t>
                          </a:r>
                        </a:p>
                      </xdr:txBody>
                    </xdr:sp>
                    <xdr:sp macro="" textlink="">
                      <xdr:nvSpPr>
                        <xdr:cNvPr id="25" name="TextBox 24">
                          <a:extLst>
                            <a:ext uri="{FF2B5EF4-FFF2-40B4-BE49-F238E27FC236}">
                              <a16:creationId xmlns:a16="http://schemas.microsoft.com/office/drawing/2014/main" id="{C006EA52-CD7B-59C2-AC85-1FDFB3F04EA5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1501081" y="3230376"/>
                          <a:ext cx="405744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50</a:t>
                          </a:r>
                        </a:p>
                      </xdr:txBody>
                    </xdr:sp>
                    <xdr:sp macro="" textlink="">
                      <xdr:nvSpPr>
                        <xdr:cNvPr id="26" name="TextBox 25">
                          <a:extLst>
                            <a:ext uri="{FF2B5EF4-FFF2-40B4-BE49-F238E27FC236}">
                              <a16:creationId xmlns:a16="http://schemas.microsoft.com/office/drawing/2014/main" id="{6642EF31-8E7C-1BC5-E0A3-BE8EDE3A7D2B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781081" y="1409239"/>
                          <a:ext cx="405746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30</a:t>
                          </a:r>
                        </a:p>
                      </xdr:txBody>
                    </xdr:sp>
                    <xdr:sp macro="" textlink="">
                      <xdr:nvSpPr>
                        <xdr:cNvPr id="27" name="TextBox 26">
                          <a:extLst>
                            <a:ext uri="{FF2B5EF4-FFF2-40B4-BE49-F238E27FC236}">
                              <a16:creationId xmlns:a16="http://schemas.microsoft.com/office/drawing/2014/main" id="{D626CD5E-14A9-E4B9-C8CB-3C35995DBB3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360221" y="1912786"/>
                          <a:ext cx="323633" cy="293428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20</a:t>
                          </a:r>
                        </a:p>
                      </xdr:txBody>
                    </xdr:sp>
                    <xdr:sp macro="" textlink="">
                      <xdr:nvSpPr>
                        <xdr:cNvPr id="28" name="TextBox 27">
                          <a:extLst>
                            <a:ext uri="{FF2B5EF4-FFF2-40B4-BE49-F238E27FC236}">
                              <a16:creationId xmlns:a16="http://schemas.microsoft.com/office/drawing/2014/main" id="{76732922-1741-C96B-E00F-62E60E236DF5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907460" y="5164369"/>
                          <a:ext cx="392672" cy="342786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20</a:t>
                          </a:r>
                        </a:p>
                      </xdr:txBody>
                    </xdr:sp>
                    <xdr:sp macro="" textlink="">
                      <xdr:nvSpPr>
                        <xdr:cNvPr id="29" name="TextBox 28">
                          <a:extLst>
                            <a:ext uri="{FF2B5EF4-FFF2-40B4-BE49-F238E27FC236}">
                              <a16:creationId xmlns:a16="http://schemas.microsoft.com/office/drawing/2014/main" id="{3DC20188-8A91-0A05-9D58-03483CA19C17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605454" y="2747967"/>
                          <a:ext cx="405746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20</a:t>
                          </a:r>
                        </a:p>
                      </xdr:txBody>
                    </xdr:sp>
                    <xdr:sp macro="" textlink="">
                      <xdr:nvSpPr>
                        <xdr:cNvPr id="30" name="TextBox 29">
                          <a:extLst>
                            <a:ext uri="{FF2B5EF4-FFF2-40B4-BE49-F238E27FC236}">
                              <a16:creationId xmlns:a16="http://schemas.microsoft.com/office/drawing/2014/main" id="{CCC57939-7A9D-3D27-9A5A-76DCBF995F1C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477779" y="423467"/>
                          <a:ext cx="750668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/>
                            <a:t>[-600]</a:t>
                          </a:r>
                        </a:p>
                      </xdr:txBody>
                    </xdr:sp>
                    <xdr:sp macro="" textlink="">
                      <xdr:nvSpPr>
                        <xdr:cNvPr id="31" name="TextBox 30">
                          <a:extLst>
                            <a:ext uri="{FF2B5EF4-FFF2-40B4-BE49-F238E27FC236}">
                              <a16:creationId xmlns:a16="http://schemas.microsoft.com/office/drawing/2014/main" id="{15759727-7395-4CD8-A808-0F30C5FC8356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822825" y="4828447"/>
                          <a:ext cx="555572" cy="324041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/>
                            <a:t>[1200]</a:t>
                          </a:r>
                        </a:p>
                      </xdr:txBody>
                    </xdr:sp>
                    <xdr:grpSp>
                      <xdr:nvGrpSpPr>
                        <xdr:cNvPr id="32" name="Group 31">
                          <a:extLst>
                            <a:ext uri="{FF2B5EF4-FFF2-40B4-BE49-F238E27FC236}">
                              <a16:creationId xmlns:a16="http://schemas.microsoft.com/office/drawing/2014/main" id="{785AAD71-570F-C983-0E5D-870C87F17105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6829778" y="578556"/>
                          <a:ext cx="5538611" cy="5602113"/>
                          <a:chOff x="6829778" y="578556"/>
                          <a:chExt cx="5538611" cy="5602113"/>
                        </a:xfrm>
                      </xdr:grpSpPr>
                      <xdr:cxnSp macro="">
                        <xdr:nvCxnSpPr>
                          <xdr:cNvPr id="39" name="Straight Arrow Connector 38">
                            <a:extLst>
                              <a:ext uri="{FF2B5EF4-FFF2-40B4-BE49-F238E27FC236}">
                                <a16:creationId xmlns:a16="http://schemas.microsoft.com/office/drawing/2014/main" id="{F63722CE-6DA5-B7B3-F98A-7EAAD0B5FCDF}"/>
                              </a:ext>
                            </a:extLst>
                          </xdr:cNvPr>
                          <xdr:cNvCxnSpPr>
                            <a:stCxn id="16" idx="1"/>
                            <a:endCxn id="49" idx="5"/>
                          </xdr:cNvCxnSpPr>
                        </xdr:nvCxnSpPr>
                        <xdr:spPr>
                          <a:xfrm flipH="1" flipV="1">
                            <a:off x="8100427" y="4170481"/>
                            <a:ext cx="401902" cy="507737"/>
                          </a:xfrm>
                          <a:prstGeom prst="straightConnector1">
                            <a:avLst/>
                          </a:prstGeom>
                          <a:ln w="38100"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0" name="Straight Arrow Connector 39">
                            <a:extLst>
                              <a:ext uri="{FF2B5EF4-FFF2-40B4-BE49-F238E27FC236}">
                                <a16:creationId xmlns:a16="http://schemas.microsoft.com/office/drawing/2014/main" id="{F9F21500-B613-21BC-BF1B-9CDC06D13CC7}"/>
                              </a:ext>
                            </a:extLst>
                          </xdr:cNvPr>
                          <xdr:cNvCxnSpPr>
                            <a:stCxn id="51" idx="3"/>
                            <a:endCxn id="50" idx="7"/>
                          </xdr:cNvCxnSpPr>
                        </xdr:nvCxnSpPr>
                        <xdr:spPr>
                          <a:xfrm flipH="1">
                            <a:off x="9397616" y="4451670"/>
                            <a:ext cx="1334268" cy="1397772"/>
                          </a:xfrm>
                          <a:prstGeom prst="straightConnector1">
                            <a:avLst/>
                          </a:prstGeom>
                          <a:ln w="38100"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1" name="Straight Arrow Connector 40">
                            <a:extLst>
                              <a:ext uri="{FF2B5EF4-FFF2-40B4-BE49-F238E27FC236}">
                                <a16:creationId xmlns:a16="http://schemas.microsoft.com/office/drawing/2014/main" id="{4AF13BC8-9CE6-FE30-EED3-3E6EA3D973A5}"/>
                              </a:ext>
                            </a:extLst>
                          </xdr:cNvPr>
                          <xdr:cNvCxnSpPr>
                            <a:stCxn id="53" idx="7"/>
                            <a:endCxn id="55" idx="4"/>
                          </xdr:cNvCxnSpPr>
                        </xdr:nvCxnSpPr>
                        <xdr:spPr>
                          <a:xfrm flipV="1">
                            <a:off x="9631652" y="966612"/>
                            <a:ext cx="588320" cy="1865336"/>
                          </a:xfrm>
                          <a:prstGeom prst="straightConnector1">
                            <a:avLst/>
                          </a:prstGeom>
                          <a:ln w="38100"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2" name="Straight Arrow Connector 41">
                            <a:extLst>
                              <a:ext uri="{FF2B5EF4-FFF2-40B4-BE49-F238E27FC236}">
                                <a16:creationId xmlns:a16="http://schemas.microsoft.com/office/drawing/2014/main" id="{7629A1CC-B16B-86FD-36AF-DF0F934F5CEB}"/>
                              </a:ext>
                            </a:extLst>
                          </xdr:cNvPr>
                          <xdr:cNvCxnSpPr>
                            <a:stCxn id="52" idx="3"/>
                            <a:endCxn id="51" idx="7"/>
                          </xdr:cNvCxnSpPr>
                        </xdr:nvCxnSpPr>
                        <xdr:spPr>
                          <a:xfrm flipH="1">
                            <a:off x="11006280" y="2542538"/>
                            <a:ext cx="1012815" cy="1634735"/>
                          </a:xfrm>
                          <a:prstGeom prst="straightConnector1">
                            <a:avLst/>
                          </a:prstGeom>
                          <a:ln w="38100"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3" name="Straight Arrow Connector 42">
                            <a:extLst>
                              <a:ext uri="{FF2B5EF4-FFF2-40B4-BE49-F238E27FC236}">
                                <a16:creationId xmlns:a16="http://schemas.microsoft.com/office/drawing/2014/main" id="{21C6F24F-76BB-BF2D-5941-EF061D379DDF}"/>
                              </a:ext>
                            </a:extLst>
                          </xdr:cNvPr>
                          <xdr:cNvCxnSpPr>
                            <a:stCxn id="55" idx="2"/>
                            <a:endCxn id="54" idx="6"/>
                          </xdr:cNvCxnSpPr>
                        </xdr:nvCxnSpPr>
                        <xdr:spPr>
                          <a:xfrm flipH="1">
                            <a:off x="7239001" y="772584"/>
                            <a:ext cx="2786943" cy="550335"/>
                          </a:xfrm>
                          <a:prstGeom prst="straightConnector1">
                            <a:avLst/>
                          </a:prstGeom>
                          <a:ln w="38100"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4" name="Straight Arrow Connector 43">
                            <a:extLst>
                              <a:ext uri="{FF2B5EF4-FFF2-40B4-BE49-F238E27FC236}">
                                <a16:creationId xmlns:a16="http://schemas.microsoft.com/office/drawing/2014/main" id="{6682402F-1A13-9059-4A8F-B4B56CAB5B56}"/>
                              </a:ext>
                            </a:extLst>
                          </xdr:cNvPr>
                          <xdr:cNvCxnSpPr>
                            <a:stCxn id="55" idx="3"/>
                            <a:endCxn id="53" idx="0"/>
                          </xdr:cNvCxnSpPr>
                        </xdr:nvCxnSpPr>
                        <xdr:spPr>
                          <a:xfrm flipH="1">
                            <a:off x="9486969" y="909783"/>
                            <a:ext cx="595804" cy="1861203"/>
                          </a:xfrm>
                          <a:prstGeom prst="straightConnector1">
                            <a:avLst/>
                          </a:prstGeom>
                          <a:ln w="38100"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5" name="Straight Arrow Connector 44">
                            <a:extLst>
                              <a:ext uri="{FF2B5EF4-FFF2-40B4-BE49-F238E27FC236}">
                                <a16:creationId xmlns:a16="http://schemas.microsoft.com/office/drawing/2014/main" id="{AD8836F5-F08B-6DD4-B75E-39045352B44F}"/>
                              </a:ext>
                            </a:extLst>
                          </xdr:cNvPr>
                          <xdr:cNvCxnSpPr>
                            <a:stCxn id="16" idx="5"/>
                            <a:endCxn id="50" idx="1"/>
                          </xdr:cNvCxnSpPr>
                        </xdr:nvCxnSpPr>
                        <xdr:spPr>
                          <a:xfrm>
                            <a:off x="8776726" y="4952616"/>
                            <a:ext cx="346492" cy="896826"/>
                          </a:xfrm>
                          <a:prstGeom prst="straightConnector1">
                            <a:avLst/>
                          </a:prstGeom>
                          <a:ln w="38100"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6" name="Straight Arrow Connector 45">
                            <a:extLst>
                              <a:ext uri="{FF2B5EF4-FFF2-40B4-BE49-F238E27FC236}">
                                <a16:creationId xmlns:a16="http://schemas.microsoft.com/office/drawing/2014/main" id="{BAD6897B-88EA-1842-AFD5-F4660FDDF8AE}"/>
                              </a:ext>
                            </a:extLst>
                          </xdr:cNvPr>
                          <xdr:cNvCxnSpPr>
                            <a:stCxn id="53" idx="3"/>
                            <a:endCxn id="49" idx="7"/>
                          </xdr:cNvCxnSpPr>
                        </xdr:nvCxnSpPr>
                        <xdr:spPr>
                          <a:xfrm flipH="1">
                            <a:off x="8100426" y="3126302"/>
                            <a:ext cx="1241861" cy="774771"/>
                          </a:xfrm>
                          <a:prstGeom prst="straightConnector1">
                            <a:avLst/>
                          </a:prstGeom>
                          <a:ln w="38100"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7" name="Straight Arrow Connector 46">
                            <a:extLst>
                              <a:ext uri="{FF2B5EF4-FFF2-40B4-BE49-F238E27FC236}">
                                <a16:creationId xmlns:a16="http://schemas.microsoft.com/office/drawing/2014/main" id="{6BA3D454-1E7F-4905-7549-CF6DBCA58D2A}"/>
                              </a:ext>
                            </a:extLst>
                          </xdr:cNvPr>
                          <xdr:cNvCxnSpPr>
                            <a:stCxn id="55" idx="6"/>
                            <a:endCxn id="52" idx="1"/>
                          </xdr:cNvCxnSpPr>
                        </xdr:nvCxnSpPr>
                        <xdr:spPr>
                          <a:xfrm>
                            <a:off x="10413998" y="772585"/>
                            <a:ext cx="1605097" cy="1475600"/>
                          </a:xfrm>
                          <a:prstGeom prst="straightConnector1">
                            <a:avLst/>
                          </a:prstGeom>
                          <a:ln w="38100"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8" name="Straight Arrow Connector 47">
                            <a:extLst>
                              <a:ext uri="{FF2B5EF4-FFF2-40B4-BE49-F238E27FC236}">
                                <a16:creationId xmlns:a16="http://schemas.microsoft.com/office/drawing/2014/main" id="{0FD1311F-9C18-6C28-57BD-46C0CAA97DA1}"/>
                              </a:ext>
                            </a:extLst>
                          </xdr:cNvPr>
                          <xdr:cNvCxnSpPr>
                            <a:stCxn id="54" idx="5"/>
                            <a:endCxn id="56" idx="1"/>
                          </xdr:cNvCxnSpPr>
                        </xdr:nvCxnSpPr>
                        <xdr:spPr>
                          <a:xfrm>
                            <a:off x="7179072" y="1470095"/>
                            <a:ext cx="1084856" cy="886918"/>
                          </a:xfrm>
                          <a:prstGeom prst="straightConnector1">
                            <a:avLst/>
                          </a:prstGeom>
                          <a:ln w="38100"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49" name="Oval 48">
                            <a:extLst>
                              <a:ext uri="{FF2B5EF4-FFF2-40B4-BE49-F238E27FC236}">
                                <a16:creationId xmlns:a16="http://schemas.microsoft.com/office/drawing/2014/main" id="{32610140-FCA4-B6DF-1BB8-29FEDC6D20B9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7775222" y="3845277"/>
                            <a:ext cx="381001" cy="381000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ysClr val="windowText" lastClr="000000"/>
                                </a:solidFill>
                              </a:rPr>
                              <a:t>4</a:t>
                            </a:r>
                          </a:p>
                        </xdr:txBody>
                      </xdr:sp>
                      <xdr:sp macro="" textlink="">
                        <xdr:nvSpPr>
                          <xdr:cNvPr id="50" name="Oval 49">
                            <a:extLst>
                              <a:ext uri="{FF2B5EF4-FFF2-40B4-BE49-F238E27FC236}">
                                <a16:creationId xmlns:a16="http://schemas.microsoft.com/office/drawing/2014/main" id="{1FAA9794-BABC-7753-BEE1-16F4DC7DE18C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9066389" y="5792613"/>
                            <a:ext cx="388056" cy="388056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ysClr val="windowText" lastClr="000000"/>
                                </a:solidFill>
                              </a:rPr>
                              <a:t>7</a:t>
                            </a:r>
                          </a:p>
                        </xdr:txBody>
                      </xdr:sp>
                      <xdr:sp macro="" textlink="">
                        <xdr:nvSpPr>
                          <xdr:cNvPr id="51" name="Oval 50">
                            <a:extLst>
                              <a:ext uri="{FF2B5EF4-FFF2-40B4-BE49-F238E27FC236}">
                                <a16:creationId xmlns:a16="http://schemas.microsoft.com/office/drawing/2014/main" id="{7ACD1915-FA44-0819-E800-CDBDB2524A57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0675055" y="4120444"/>
                            <a:ext cx="388055" cy="388056"/>
                          </a:xfrm>
                          <a:prstGeom prst="ellipse">
                            <a:avLst/>
                          </a:prstGeom>
                          <a:solidFill>
                            <a:schemeClr val="accent2">
                              <a:lumMod val="60000"/>
                              <a:lumOff val="40000"/>
                            </a:schemeClr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ysClr val="windowText" lastClr="000000"/>
                                </a:solidFill>
                              </a:rPr>
                              <a:t>2</a:t>
                            </a:r>
                          </a:p>
                        </xdr:txBody>
                      </xdr:sp>
                      <xdr:sp macro="" textlink="">
                        <xdr:nvSpPr>
                          <xdr:cNvPr id="52" name="Oval 51">
                            <a:extLst>
                              <a:ext uri="{FF2B5EF4-FFF2-40B4-BE49-F238E27FC236}">
                                <a16:creationId xmlns:a16="http://schemas.microsoft.com/office/drawing/2014/main" id="{65EBFFAC-D2F0-ABCB-90E3-70CD19A6E4F6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1959166" y="2187222"/>
                            <a:ext cx="409223" cy="416279"/>
                          </a:xfrm>
                          <a:prstGeom prst="ellipse">
                            <a:avLst/>
                          </a:prstGeom>
                          <a:solidFill>
                            <a:schemeClr val="tx2">
                              <a:lumMod val="40000"/>
                              <a:lumOff val="60000"/>
                            </a:schemeClr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lIns="0" tIns="0" rIns="0" bIns="0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ysClr val="windowText" lastClr="000000"/>
                                </a:solidFill>
                              </a:rPr>
                              <a:t>10</a:t>
                            </a:r>
                          </a:p>
                        </xdr:txBody>
                      </xdr:sp>
                      <xdr:sp macro="" textlink="">
                        <xdr:nvSpPr>
                          <xdr:cNvPr id="53" name="Oval 52">
                            <a:extLst>
                              <a:ext uri="{FF2B5EF4-FFF2-40B4-BE49-F238E27FC236}">
                                <a16:creationId xmlns:a16="http://schemas.microsoft.com/office/drawing/2014/main" id="{C4E79B07-F598-C38E-AC2E-3FFB1704444F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9282358" y="2770986"/>
                            <a:ext cx="409223" cy="416279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lIns="0" tIns="0" rIns="0" bIns="0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ysClr val="windowText" lastClr="000000"/>
                                </a:solidFill>
                              </a:rPr>
                              <a:t>8</a:t>
                            </a:r>
                          </a:p>
                        </xdr:txBody>
                      </xdr:sp>
                      <xdr:sp macro="" textlink="">
                        <xdr:nvSpPr>
                          <xdr:cNvPr id="54" name="Oval 53">
                            <a:extLst>
                              <a:ext uri="{FF2B5EF4-FFF2-40B4-BE49-F238E27FC236}">
                                <a16:creationId xmlns:a16="http://schemas.microsoft.com/office/drawing/2014/main" id="{A40948D5-1F96-6AE4-E213-DBFA2246CA13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6829778" y="1114779"/>
                            <a:ext cx="409223" cy="416279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lIns="0" tIns="0" rIns="0" bIns="0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ysClr val="windowText" lastClr="000000"/>
                                </a:solidFill>
                              </a:rPr>
                              <a:t>9</a:t>
                            </a:r>
                          </a:p>
                        </xdr:txBody>
                      </xdr:sp>
                      <xdr:sp macro="" textlink="">
                        <xdr:nvSpPr>
                          <xdr:cNvPr id="55" name="Oval 54">
                            <a:extLst>
                              <a:ext uri="{FF2B5EF4-FFF2-40B4-BE49-F238E27FC236}">
                                <a16:creationId xmlns:a16="http://schemas.microsoft.com/office/drawing/2014/main" id="{F329D736-AB8E-7488-1429-BBF802C1EB9A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0025944" y="578556"/>
                            <a:ext cx="388055" cy="388056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ysClr val="windowText" lastClr="000000"/>
                                </a:solidFill>
                              </a:rPr>
                              <a:t>3</a:t>
                            </a:r>
                          </a:p>
                        </xdr:txBody>
                      </xdr:sp>
                      <xdr:sp macro="" textlink="">
                        <xdr:nvSpPr>
                          <xdr:cNvPr id="56" name="Oval 55">
                            <a:extLst>
                              <a:ext uri="{FF2B5EF4-FFF2-40B4-BE49-F238E27FC236}">
                                <a16:creationId xmlns:a16="http://schemas.microsoft.com/office/drawing/2014/main" id="{7B76FC85-287C-FCB7-AE53-E78A837F1331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8208131" y="2301217"/>
                            <a:ext cx="381001" cy="381000"/>
                          </a:xfrm>
                          <a:prstGeom prst="ellipse">
                            <a:avLst/>
                          </a:prstGeom>
                          <a:solidFill>
                            <a:schemeClr val="tx2">
                              <a:lumMod val="40000"/>
                              <a:lumOff val="60000"/>
                            </a:schemeClr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ysClr val="windowText" lastClr="000000"/>
                                </a:solidFill>
                              </a:rPr>
                              <a:t>5</a:t>
                            </a:r>
                          </a:p>
                        </xdr:txBody>
                      </xdr:sp>
                      <xdr:sp macro="" textlink="">
                        <xdr:nvSpPr>
                          <xdr:cNvPr id="57" name="Oval 56">
                            <a:extLst>
                              <a:ext uri="{FF2B5EF4-FFF2-40B4-BE49-F238E27FC236}">
                                <a16:creationId xmlns:a16="http://schemas.microsoft.com/office/drawing/2014/main" id="{3A5238B1-37BB-D637-7D3A-D46506A5A1DC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8979761" y="1457460"/>
                            <a:ext cx="381001" cy="381000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ysClr val="windowText" lastClr="000000"/>
                                </a:solidFill>
                              </a:rPr>
                              <a:t>6</a:t>
                            </a:r>
                          </a:p>
                        </xdr:txBody>
                      </xdr:sp>
                      <xdr:cxnSp macro="">
                        <xdr:nvCxnSpPr>
                          <xdr:cNvPr id="58" name="Straight Arrow Connector 57">
                            <a:extLst>
                              <a:ext uri="{FF2B5EF4-FFF2-40B4-BE49-F238E27FC236}">
                                <a16:creationId xmlns:a16="http://schemas.microsoft.com/office/drawing/2014/main" id="{1A194B83-B5B9-091A-86F4-357D09D41DB2}"/>
                              </a:ext>
                            </a:extLst>
                          </xdr:cNvPr>
                          <xdr:cNvCxnSpPr>
                            <a:stCxn id="53" idx="6"/>
                            <a:endCxn id="52" idx="2"/>
                          </xdr:cNvCxnSpPr>
                        </xdr:nvCxnSpPr>
                        <xdr:spPr>
                          <a:xfrm flipV="1">
                            <a:off x="9691581" y="2395361"/>
                            <a:ext cx="2267585" cy="583764"/>
                          </a:xfrm>
                          <a:prstGeom prst="straightConnector1">
                            <a:avLst/>
                          </a:prstGeom>
                          <a:ln w="38100"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59" name="Straight Arrow Connector 58">
                            <a:extLst>
                              <a:ext uri="{FF2B5EF4-FFF2-40B4-BE49-F238E27FC236}">
                                <a16:creationId xmlns:a16="http://schemas.microsoft.com/office/drawing/2014/main" id="{5D0745C7-B9EB-DD5C-4BE1-AEC9D8568020}"/>
                              </a:ext>
                            </a:extLst>
                          </xdr:cNvPr>
                          <xdr:cNvCxnSpPr>
                            <a:stCxn id="57" idx="3"/>
                            <a:endCxn id="56" idx="7"/>
                          </xdr:cNvCxnSpPr>
                        </xdr:nvCxnSpPr>
                        <xdr:spPr>
                          <a:xfrm flipH="1">
                            <a:off x="8533336" y="1782665"/>
                            <a:ext cx="502222" cy="574348"/>
                          </a:xfrm>
                          <a:prstGeom prst="straightConnector1">
                            <a:avLst/>
                          </a:prstGeom>
                          <a:ln w="38100"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60" name="Straight Arrow Connector 59">
                            <a:extLst>
                              <a:ext uri="{FF2B5EF4-FFF2-40B4-BE49-F238E27FC236}">
                                <a16:creationId xmlns:a16="http://schemas.microsoft.com/office/drawing/2014/main" id="{7AAF3754-D611-8C01-C7A4-459533A3D5D7}"/>
                              </a:ext>
                            </a:extLst>
                          </xdr:cNvPr>
                          <xdr:cNvCxnSpPr>
                            <a:stCxn id="54" idx="4"/>
                            <a:endCxn id="49" idx="1"/>
                          </xdr:cNvCxnSpPr>
                        </xdr:nvCxnSpPr>
                        <xdr:spPr>
                          <a:xfrm>
                            <a:off x="7034389" y="1531058"/>
                            <a:ext cx="796629" cy="2370016"/>
                          </a:xfrm>
                          <a:prstGeom prst="straightConnector1">
                            <a:avLst/>
                          </a:prstGeom>
                          <a:ln w="38100"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  <xdr:sp macro="" textlink="">
                      <xdr:nvSpPr>
                        <xdr:cNvPr id="33" name="TextBox 32">
                          <a:extLst>
                            <a:ext uri="{FF2B5EF4-FFF2-40B4-BE49-F238E27FC236}">
                              <a16:creationId xmlns:a16="http://schemas.microsoft.com/office/drawing/2014/main" id="{9835A89A-0FF7-1E92-B730-FAC36C101B9B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2008555" y="1912055"/>
                          <a:ext cx="728946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square" rtlCol="0" anchor="t">
                          <a:noAutofit/>
                        </a:bodyPr>
                        <a:lstStyle/>
                        <a:p>
                          <a:r>
                            <a:rPr lang="en-GB" sz="1400"/>
                            <a:t>[1000]</a:t>
                          </a:r>
                        </a:p>
                      </xdr:txBody>
                    </xdr:sp>
                    <xdr:sp macro="" textlink="">
                      <xdr:nvSpPr>
                        <xdr:cNvPr id="34" name="TextBox 33">
                          <a:extLst>
                            <a:ext uri="{FF2B5EF4-FFF2-40B4-BE49-F238E27FC236}">
                              <a16:creationId xmlns:a16="http://schemas.microsoft.com/office/drawing/2014/main" id="{467D716B-A622-27DA-E954-54278EC92441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672978" y="2391659"/>
                          <a:ext cx="639663" cy="324041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/>
                            <a:t>[800]</a:t>
                          </a:r>
                        </a:p>
                      </xdr:txBody>
                    </xdr:sp>
                    <xdr:sp macro="" textlink="">
                      <xdr:nvSpPr>
                        <xdr:cNvPr id="35" name="TextBox 34">
                          <a:extLst>
                            <a:ext uri="{FF2B5EF4-FFF2-40B4-BE49-F238E27FC236}">
                              <a16:creationId xmlns:a16="http://schemas.microsoft.com/office/drawing/2014/main" id="{2430BEE9-59CC-CAEE-983A-D829B6E7E1C2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221060" y="3838718"/>
                          <a:ext cx="582693" cy="324041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/>
                            <a:t>[-800]</a:t>
                          </a:r>
                        </a:p>
                      </xdr:txBody>
                    </xdr:sp>
                    <xdr:sp macro="" textlink="">
                      <xdr:nvSpPr>
                        <xdr:cNvPr id="36" name="TextBox 35">
                          <a:extLst>
                            <a:ext uri="{FF2B5EF4-FFF2-40B4-BE49-F238E27FC236}">
                              <a16:creationId xmlns:a16="http://schemas.microsoft.com/office/drawing/2014/main" id="{CB34F2AE-4DF5-E86C-3279-DEFAC5635F53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440528" y="782338"/>
                          <a:ext cx="405745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15</a:t>
                          </a:r>
                        </a:p>
                      </xdr:txBody>
                    </xdr:sp>
                    <xdr:sp macro="" textlink="">
                      <xdr:nvSpPr>
                        <xdr:cNvPr id="37" name="TextBox 36">
                          <a:extLst>
                            <a:ext uri="{FF2B5EF4-FFF2-40B4-BE49-F238E27FC236}">
                              <a16:creationId xmlns:a16="http://schemas.microsoft.com/office/drawing/2014/main" id="{BC91B1D9-B5D2-1721-5FA6-460EF4506DD1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618124" y="2642221"/>
                          <a:ext cx="405745" cy="292906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25</a:t>
                          </a:r>
                        </a:p>
                      </xdr:txBody>
                    </xdr:sp>
                    <xdr:sp macro="" textlink="">
                      <xdr:nvSpPr>
                        <xdr:cNvPr id="38" name="TextBox 37">
                          <a:extLst>
                            <a:ext uri="{FF2B5EF4-FFF2-40B4-BE49-F238E27FC236}">
                              <a16:creationId xmlns:a16="http://schemas.microsoft.com/office/drawing/2014/main" id="{6434D9FD-8E79-9B85-C26A-0125E0F28085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310029" y="4243760"/>
                          <a:ext cx="405745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/>
                            <a:t>25</a:t>
                          </a:r>
                        </a:p>
                      </xdr:txBody>
                    </xdr:sp>
                  </xdr:grpSp>
                </xdr:grpSp>
                <xdr:sp macro="" textlink="">
                  <xdr:nvSpPr>
                    <xdr:cNvPr id="14" name="TextBox 13">
                      <a:extLst>
                        <a:ext uri="{FF2B5EF4-FFF2-40B4-BE49-F238E27FC236}">
                          <a16:creationId xmlns:a16="http://schemas.microsoft.com/office/drawing/2014/main" id="{22FBDAC6-A872-F008-0726-063D395D74F2}"/>
                        </a:ext>
                      </a:extLst>
                    </xdr:cNvPr>
                    <xdr:cNvSpPr txBox="1"/>
                  </xdr:nvSpPr>
                  <xdr:spPr>
                    <a:xfrm>
                      <a:off x="9495014" y="5662966"/>
                      <a:ext cx="581904" cy="312223"/>
                    </a:xfrm>
                    <a:prstGeom prst="rect">
                      <a:avLst/>
                    </a:prstGeom>
                    <a:noFill/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tx1"/>
                    </a:fontRef>
                  </xdr:style>
                  <xdr:txBody>
                    <a:bodyPr vertOverflow="clip" wrap="none" rtlCol="0" anchor="t">
                      <a:noAutofit/>
                    </a:bodyPr>
                    <a:lstStyle/>
                    <a:p>
                      <a:r>
                        <a:rPr lang="en-GB" sz="1400"/>
                        <a:t>[-500]</a:t>
                      </a:r>
                    </a:p>
                  </xdr:txBody>
                </xdr:sp>
              </xdr:grpSp>
              <xdr:sp macro="" textlink="">
                <xdr:nvSpPr>
                  <xdr:cNvPr id="12" name="TextBox 11">
                    <a:extLst>
                      <a:ext uri="{FF2B5EF4-FFF2-40B4-BE49-F238E27FC236}">
                        <a16:creationId xmlns:a16="http://schemas.microsoft.com/office/drawing/2014/main" id="{AD0A1AED-EE15-CA86-E179-BE51E787AAEA}"/>
                      </a:ext>
                    </a:extLst>
                  </xdr:cNvPr>
                  <xdr:cNvSpPr txBox="1"/>
                </xdr:nvSpPr>
                <xdr:spPr>
                  <a:xfrm rot="2743938">
                    <a:off x="11275295" y="1017392"/>
                    <a:ext cx="1059908" cy="375365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wrap="none" rtlCol="0" anchor="t">
                    <a:noAutofit/>
                  </a:bodyPr>
                  <a:lstStyle/>
                  <a:p>
                    <a:r>
                      <a:rPr lang="en-GB" sz="1400"/>
                      <a:t>(u103 = 500)</a:t>
                    </a:r>
                  </a:p>
                </xdr:txBody>
              </xdr:sp>
            </xdr:grpSp>
            <xdr:cxnSp macro="">
              <xdr:nvCxnSpPr>
                <xdr:cNvPr id="10" name="Straight Arrow Connector 9">
                  <a:extLst>
                    <a:ext uri="{FF2B5EF4-FFF2-40B4-BE49-F238E27FC236}">
                      <a16:creationId xmlns:a16="http://schemas.microsoft.com/office/drawing/2014/main" id="{11F189B2-5AC2-71D0-E15A-642F2F0501AD}"/>
                    </a:ext>
                  </a:extLst>
                </xdr:cNvPr>
                <xdr:cNvCxnSpPr>
                  <a:stCxn id="53" idx="1"/>
                  <a:endCxn id="56" idx="6"/>
                </xdr:cNvCxnSpPr>
              </xdr:nvCxnSpPr>
              <xdr:spPr>
                <a:xfrm flipH="1" flipV="1">
                  <a:off x="9009817" y="2231848"/>
                  <a:ext cx="745280" cy="346537"/>
                </a:xfrm>
                <a:prstGeom prst="straightConnector1">
                  <a:avLst/>
                </a:prstGeom>
                <a:ln w="38100">
                  <a:headEnd type="triangle" w="med" len="med"/>
                  <a:tailEnd type="none" w="med" len="med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90CEF96-0D3C-6470-09AD-3BD3E849B851}"/>
                </a:ext>
              </a:extLst>
            </xdr:cNvPr>
            <xdr:cNvSpPr txBox="1"/>
          </xdr:nvSpPr>
          <xdr:spPr>
            <a:xfrm>
              <a:off x="9145773" y="1776460"/>
              <a:ext cx="405155" cy="3371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GB" sz="1200"/>
                <a:t>20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8859D3A-3757-F8B0-83F4-1DB3D51F4221}"/>
              </a:ext>
            </a:extLst>
          </xdr:cNvPr>
          <xdr:cNvSpPr txBox="1"/>
        </xdr:nvSpPr>
        <xdr:spPr>
          <a:xfrm>
            <a:off x="8433153" y="3376083"/>
            <a:ext cx="398280" cy="3619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GB" sz="1200"/>
              <a:t>20</a:t>
            </a:r>
          </a:p>
        </xdr:txBody>
      </xdr:sp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2T06:15:07.812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1,'1047'0,"-1013"0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2T10:47:46.780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68,'22'-2,"0"0,40-10,58-19,-110 28,12-3,1 2,-1 1,33-2,71 7,-51 0,463-2,-504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2T07:01:04.305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0,'869'0,"-838"0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2T10:48:14.240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37,'17'0,"54"1,125-16,62-7,-2 21,-134 2,-751-1,590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371A-0D8D-41A3-A372-51C9DEDB73CA}">
  <dimension ref="A1:E35"/>
  <sheetViews>
    <sheetView showGridLines="0" tabSelected="1" zoomScale="46" zoomScaleNormal="50" workbookViewId="0">
      <selection activeCell="I1" sqref="I1"/>
    </sheetView>
  </sheetViews>
  <sheetFormatPr defaultColWidth="9.1796875" defaultRowHeight="14.5" x14ac:dyDescent="0.35"/>
  <cols>
    <col min="1" max="1" width="38.90625" style="2" customWidth="1"/>
    <col min="2" max="2" width="32.6328125" style="2" customWidth="1"/>
    <col min="3" max="3" width="14.1796875" style="2" bestFit="1" customWidth="1"/>
    <col min="4" max="5" width="9.1796875" style="2"/>
    <col min="6" max="6" width="4" style="2" customWidth="1"/>
    <col min="7" max="16384" width="9.1796875" style="2"/>
  </cols>
  <sheetData>
    <row r="1" spans="1:3" ht="20.5" customHeight="1" x14ac:dyDescent="0.35">
      <c r="A1" s="1" t="s">
        <v>3</v>
      </c>
      <c r="B1" s="1" t="s">
        <v>6</v>
      </c>
      <c r="C1" s="1" t="s">
        <v>5</v>
      </c>
    </row>
    <row r="2" spans="1:3" ht="15.5" x14ac:dyDescent="0.35">
      <c r="A2" s="1" t="s">
        <v>23</v>
      </c>
      <c r="B2" s="3">
        <v>800</v>
      </c>
      <c r="C2" s="4">
        <v>25</v>
      </c>
    </row>
    <row r="3" spans="1:3" ht="15.5" x14ac:dyDescent="0.35">
      <c r="A3" s="1" t="s">
        <v>24</v>
      </c>
      <c r="B3" s="3">
        <v>400</v>
      </c>
      <c r="C3" s="4">
        <v>20</v>
      </c>
    </row>
    <row r="4" spans="1:3" ht="15.5" x14ac:dyDescent="0.35">
      <c r="A4" s="1" t="s">
        <v>25</v>
      </c>
      <c r="B4" s="3">
        <v>100</v>
      </c>
      <c r="C4" s="4">
        <v>30</v>
      </c>
    </row>
    <row r="5" spans="1:3" ht="15.5" x14ac:dyDescent="0.35">
      <c r="A5" s="1" t="s">
        <v>26</v>
      </c>
      <c r="B5" s="3">
        <v>0</v>
      </c>
      <c r="C5" s="4">
        <v>20</v>
      </c>
    </row>
    <row r="6" spans="1:3" ht="15.5" x14ac:dyDescent="0.35">
      <c r="A6" s="1" t="s">
        <v>27</v>
      </c>
      <c r="B6" s="3">
        <v>0</v>
      </c>
      <c r="C6" s="4">
        <v>15</v>
      </c>
    </row>
    <row r="7" spans="1:3" ht="15.5" x14ac:dyDescent="0.35">
      <c r="A7" s="1" t="s">
        <v>28</v>
      </c>
      <c r="B7" s="3">
        <v>0</v>
      </c>
      <c r="C7" s="4">
        <v>20</v>
      </c>
    </row>
    <row r="8" spans="1:3" ht="15.5" x14ac:dyDescent="0.35">
      <c r="A8" s="1" t="s">
        <v>29</v>
      </c>
      <c r="B8" s="3">
        <v>0</v>
      </c>
      <c r="C8" s="4">
        <v>15</v>
      </c>
    </row>
    <row r="9" spans="1:3" ht="15.5" x14ac:dyDescent="0.35">
      <c r="A9" s="1" t="s">
        <v>30</v>
      </c>
      <c r="B9" s="3">
        <v>300</v>
      </c>
      <c r="C9" s="4">
        <v>20</v>
      </c>
    </row>
    <row r="10" spans="1:3" ht="15.5" x14ac:dyDescent="0.35">
      <c r="A10" s="1" t="s">
        <v>31</v>
      </c>
      <c r="B10" s="3">
        <v>200</v>
      </c>
      <c r="C10" s="4">
        <v>25</v>
      </c>
    </row>
    <row r="11" spans="1:3" ht="15.5" x14ac:dyDescent="0.35">
      <c r="A11" s="1" t="s">
        <v>32</v>
      </c>
      <c r="B11" s="3">
        <v>300</v>
      </c>
      <c r="C11" s="4">
        <v>30</v>
      </c>
    </row>
    <row r="12" spans="1:3" ht="15.5" x14ac:dyDescent="0.35">
      <c r="A12" s="1" t="s">
        <v>33</v>
      </c>
      <c r="B12" s="3">
        <v>0</v>
      </c>
      <c r="C12" s="4">
        <v>20</v>
      </c>
    </row>
    <row r="13" spans="1:3" ht="15.5" x14ac:dyDescent="0.35">
      <c r="A13" s="1" t="s">
        <v>34</v>
      </c>
      <c r="B13" s="3">
        <v>100</v>
      </c>
      <c r="C13" s="4">
        <v>50</v>
      </c>
    </row>
    <row r="14" spans="1:3" ht="15.5" x14ac:dyDescent="0.35">
      <c r="A14" s="1" t="s">
        <v>35</v>
      </c>
      <c r="B14" s="3">
        <v>600</v>
      </c>
      <c r="C14" s="4">
        <v>30</v>
      </c>
    </row>
    <row r="15" spans="1:3" ht="15.5" x14ac:dyDescent="0.35">
      <c r="A15" s="1" t="s">
        <v>36</v>
      </c>
      <c r="B15" s="3">
        <v>300</v>
      </c>
      <c r="C15" s="4">
        <v>20</v>
      </c>
    </row>
    <row r="18" spans="1:5" ht="18.5" x14ac:dyDescent="0.45">
      <c r="B18" s="5" t="s">
        <v>7</v>
      </c>
      <c r="C18" s="6">
        <f>SUMPRODUCT(B2:B15,C2:C15)</f>
        <v>80000</v>
      </c>
    </row>
    <row r="21" spans="1:5" ht="18.5" x14ac:dyDescent="0.45">
      <c r="A21" s="7" t="s">
        <v>4</v>
      </c>
      <c r="B21" s="8" t="s">
        <v>21</v>
      </c>
      <c r="C21" s="8" t="s">
        <v>0</v>
      </c>
      <c r="D21" s="8" t="s">
        <v>1</v>
      </c>
      <c r="E21" s="8" t="s">
        <v>2</v>
      </c>
    </row>
    <row r="22" spans="1:5" ht="18.5" x14ac:dyDescent="0.35">
      <c r="A22" s="9" t="s">
        <v>8</v>
      </c>
      <c r="B22" s="9" t="s">
        <v>37</v>
      </c>
      <c r="C22" s="10">
        <f>B2+B3</f>
        <v>1200</v>
      </c>
      <c r="D22" s="10" t="s">
        <v>9</v>
      </c>
      <c r="E22" s="10">
        <v>1200</v>
      </c>
    </row>
    <row r="23" spans="1:5" ht="18.5" x14ac:dyDescent="0.35">
      <c r="A23" s="9" t="s">
        <v>10</v>
      </c>
      <c r="B23" s="9" t="s">
        <v>38</v>
      </c>
      <c r="C23" s="10">
        <f>B9+B10+B11</f>
        <v>800</v>
      </c>
      <c r="D23" s="10" t="s">
        <v>9</v>
      </c>
      <c r="E23" s="10">
        <v>800</v>
      </c>
    </row>
    <row r="24" spans="1:5" ht="17" customHeight="1" x14ac:dyDescent="0.35">
      <c r="A24" s="9" t="s">
        <v>11</v>
      </c>
      <c r="B24" s="9" t="s">
        <v>39</v>
      </c>
      <c r="C24" s="10">
        <f>B13+B14+B15</f>
        <v>1000</v>
      </c>
      <c r="D24" s="10" t="s">
        <v>9</v>
      </c>
      <c r="E24" s="10">
        <v>1000</v>
      </c>
    </row>
    <row r="25" spans="1:5" ht="19" customHeight="1" x14ac:dyDescent="0.35">
      <c r="A25" s="9" t="s">
        <v>12</v>
      </c>
      <c r="B25" s="11" t="s">
        <v>40</v>
      </c>
      <c r="C25" s="10">
        <f>B4-B13</f>
        <v>0</v>
      </c>
      <c r="D25" s="10" t="s">
        <v>9</v>
      </c>
      <c r="E25" s="10">
        <v>0</v>
      </c>
    </row>
    <row r="26" spans="1:5" ht="17.5" customHeight="1" x14ac:dyDescent="0.35">
      <c r="A26" s="9" t="s">
        <v>13</v>
      </c>
      <c r="B26" s="11" t="s">
        <v>41</v>
      </c>
      <c r="C26" s="10">
        <f>B5+B6-B12-B14</f>
        <v>-600</v>
      </c>
      <c r="D26" s="10" t="s">
        <v>9</v>
      </c>
      <c r="E26" s="10">
        <v>-600</v>
      </c>
    </row>
    <row r="27" spans="1:5" ht="20" customHeight="1" x14ac:dyDescent="0.45">
      <c r="A27" s="9" t="s">
        <v>14</v>
      </c>
      <c r="B27" s="12" t="s">
        <v>42</v>
      </c>
      <c r="C27" s="10">
        <f>B7+B8-B2</f>
        <v>-800</v>
      </c>
      <c r="D27" s="10" t="s">
        <v>9</v>
      </c>
      <c r="E27" s="10">
        <v>-800</v>
      </c>
    </row>
    <row r="28" spans="1:5" ht="20.5" customHeight="1" x14ac:dyDescent="0.45">
      <c r="A28" s="9" t="s">
        <v>15</v>
      </c>
      <c r="B28" s="12" t="s">
        <v>43</v>
      </c>
      <c r="C28" s="10">
        <f>-B9</f>
        <v>-300</v>
      </c>
      <c r="D28" s="10" t="s">
        <v>9</v>
      </c>
      <c r="E28" s="10">
        <v>-300</v>
      </c>
    </row>
    <row r="29" spans="1:5" ht="18.5" x14ac:dyDescent="0.45">
      <c r="A29" s="9" t="s">
        <v>16</v>
      </c>
      <c r="B29" s="12" t="s">
        <v>44</v>
      </c>
      <c r="C29" s="10">
        <f>-B3-B4</f>
        <v>-500</v>
      </c>
      <c r="D29" s="10" t="s">
        <v>9</v>
      </c>
      <c r="E29" s="10">
        <v>-500</v>
      </c>
    </row>
    <row r="30" spans="1:5" ht="18.5" x14ac:dyDescent="0.45">
      <c r="A30" s="9" t="s">
        <v>17</v>
      </c>
      <c r="B30" s="12" t="s">
        <v>45</v>
      </c>
      <c r="C30" s="13">
        <f>B12-B5-B10-B15</f>
        <v>-500</v>
      </c>
      <c r="D30" s="10" t="s">
        <v>9</v>
      </c>
      <c r="E30" s="10">
        <v>-500</v>
      </c>
    </row>
    <row r="31" spans="1:5" ht="18.5" x14ac:dyDescent="0.45">
      <c r="A31" s="9" t="s">
        <v>18</v>
      </c>
      <c r="B31" s="12" t="s">
        <v>46</v>
      </c>
      <c r="C31" s="10">
        <f>-B6-B8-B11</f>
        <v>-300</v>
      </c>
      <c r="D31" s="10" t="s">
        <v>9</v>
      </c>
      <c r="E31" s="10">
        <v>-300</v>
      </c>
    </row>
    <row r="33" spans="1:5" ht="18.5" x14ac:dyDescent="0.45">
      <c r="A33" s="7" t="s">
        <v>22</v>
      </c>
    </row>
    <row r="34" spans="1:5" ht="18.5" x14ac:dyDescent="0.45">
      <c r="A34" s="9" t="s">
        <v>20</v>
      </c>
      <c r="B34" s="12"/>
      <c r="C34" s="13"/>
      <c r="D34" s="13"/>
      <c r="E34" s="13"/>
    </row>
    <row r="35" spans="1:5" ht="18.5" x14ac:dyDescent="0.45">
      <c r="A35" s="9" t="s">
        <v>19</v>
      </c>
      <c r="B35" s="12"/>
      <c r="C35" s="13"/>
      <c r="D35" s="13"/>
      <c r="E35" s="13"/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C631-5292-4C9D-AFF8-DD81F634BC0A}">
  <dimension ref="A1:M35"/>
  <sheetViews>
    <sheetView showGridLines="0" zoomScale="44" zoomScaleNormal="50" workbookViewId="0">
      <selection activeCell="S29" sqref="S29"/>
    </sheetView>
  </sheetViews>
  <sheetFormatPr defaultColWidth="9.1796875" defaultRowHeight="14.5" x14ac:dyDescent="0.35"/>
  <cols>
    <col min="1" max="1" width="38.90625" style="2" customWidth="1"/>
    <col min="2" max="2" width="32.6328125" style="2" customWidth="1"/>
    <col min="3" max="3" width="14.1796875" style="2" bestFit="1" customWidth="1"/>
    <col min="4" max="5" width="9.1796875" style="2"/>
    <col min="6" max="6" width="4" style="2" customWidth="1"/>
    <col min="7" max="11" width="9.1796875" style="2"/>
    <col min="12" max="12" width="22.6328125" style="2" customWidth="1"/>
    <col min="13" max="13" width="28.90625" style="2" customWidth="1"/>
    <col min="14" max="16384" width="9.1796875" style="2"/>
  </cols>
  <sheetData>
    <row r="1" spans="1:3" ht="20.5" customHeight="1" x14ac:dyDescent="0.35">
      <c r="A1" s="1" t="s">
        <v>3</v>
      </c>
      <c r="B1" s="1" t="s">
        <v>6</v>
      </c>
      <c r="C1" s="1" t="s">
        <v>5</v>
      </c>
    </row>
    <row r="2" spans="1:3" ht="15.5" x14ac:dyDescent="0.35">
      <c r="A2" s="1" t="s">
        <v>23</v>
      </c>
      <c r="B2" s="3">
        <v>800</v>
      </c>
      <c r="C2" s="4">
        <v>25</v>
      </c>
    </row>
    <row r="3" spans="1:3" ht="15.5" x14ac:dyDescent="0.35">
      <c r="A3" s="1" t="s">
        <v>24</v>
      </c>
      <c r="B3" s="3">
        <v>400</v>
      </c>
      <c r="C3" s="4">
        <v>20</v>
      </c>
    </row>
    <row r="4" spans="1:3" ht="15.5" x14ac:dyDescent="0.35">
      <c r="A4" s="1" t="s">
        <v>25</v>
      </c>
      <c r="B4" s="3">
        <v>100</v>
      </c>
      <c r="C4" s="4">
        <v>30</v>
      </c>
    </row>
    <row r="5" spans="1:3" ht="15.5" x14ac:dyDescent="0.35">
      <c r="A5" s="1" t="s">
        <v>26</v>
      </c>
      <c r="B5" s="3">
        <v>0</v>
      </c>
      <c r="C5" s="4">
        <v>20</v>
      </c>
    </row>
    <row r="6" spans="1:3" ht="15.5" x14ac:dyDescent="0.35">
      <c r="A6" s="1" t="s">
        <v>27</v>
      </c>
      <c r="B6" s="3">
        <v>100</v>
      </c>
      <c r="C6" s="4">
        <v>15</v>
      </c>
    </row>
    <row r="7" spans="1:3" ht="15.5" x14ac:dyDescent="0.35">
      <c r="A7" s="1" t="s">
        <v>28</v>
      </c>
      <c r="B7" s="3">
        <v>0</v>
      </c>
      <c r="C7" s="4">
        <v>20</v>
      </c>
    </row>
    <row r="8" spans="1:3" ht="15.5" x14ac:dyDescent="0.35">
      <c r="A8" s="1" t="s">
        <v>29</v>
      </c>
      <c r="B8" s="3">
        <v>0</v>
      </c>
      <c r="C8" s="4">
        <v>15</v>
      </c>
    </row>
    <row r="9" spans="1:3" ht="15.5" x14ac:dyDescent="0.35">
      <c r="A9" s="1" t="s">
        <v>30</v>
      </c>
      <c r="B9" s="3">
        <v>300</v>
      </c>
      <c r="C9" s="4">
        <v>20</v>
      </c>
    </row>
    <row r="10" spans="1:3" ht="15.5" x14ac:dyDescent="0.35">
      <c r="A10" s="1" t="s">
        <v>31</v>
      </c>
      <c r="B10" s="3">
        <v>300</v>
      </c>
      <c r="C10" s="4">
        <v>25</v>
      </c>
    </row>
    <row r="11" spans="1:3" ht="15.5" x14ac:dyDescent="0.35">
      <c r="A11" s="1" t="s">
        <v>32</v>
      </c>
      <c r="B11" s="3">
        <v>200</v>
      </c>
      <c r="C11" s="4">
        <v>30</v>
      </c>
    </row>
    <row r="12" spans="1:3" ht="15.5" x14ac:dyDescent="0.35">
      <c r="A12" s="1" t="s">
        <v>33</v>
      </c>
      <c r="B12" s="3">
        <v>200</v>
      </c>
      <c r="C12" s="4">
        <v>20</v>
      </c>
    </row>
    <row r="13" spans="1:3" ht="15.5" x14ac:dyDescent="0.35">
      <c r="A13" s="1" t="s">
        <v>34</v>
      </c>
      <c r="B13" s="3">
        <v>100</v>
      </c>
      <c r="C13" s="4">
        <v>50</v>
      </c>
    </row>
    <row r="14" spans="1:3" ht="15.5" x14ac:dyDescent="0.35">
      <c r="A14" s="1" t="s">
        <v>35</v>
      </c>
      <c r="B14" s="3">
        <v>500</v>
      </c>
      <c r="C14" s="4">
        <v>30</v>
      </c>
    </row>
    <row r="15" spans="1:3" ht="15.5" x14ac:dyDescent="0.35">
      <c r="A15" s="1" t="s">
        <v>36</v>
      </c>
      <c r="B15" s="3">
        <v>400</v>
      </c>
      <c r="C15" s="4">
        <v>20</v>
      </c>
    </row>
    <row r="18" spans="1:13" ht="18.5" x14ac:dyDescent="0.45">
      <c r="B18" s="5" t="s">
        <v>7</v>
      </c>
      <c r="C18" s="6">
        <f>SUMPRODUCT(B2:B15,C2:C15)</f>
        <v>84000</v>
      </c>
    </row>
    <row r="21" spans="1:13" ht="18.5" x14ac:dyDescent="0.45">
      <c r="A21" s="7" t="s">
        <v>4</v>
      </c>
      <c r="B21" s="8" t="s">
        <v>21</v>
      </c>
      <c r="C21" s="8" t="s">
        <v>0</v>
      </c>
      <c r="D21" s="8" t="s">
        <v>1</v>
      </c>
      <c r="E21" s="8" t="s">
        <v>2</v>
      </c>
    </row>
    <row r="22" spans="1:13" ht="21" x14ac:dyDescent="0.5">
      <c r="A22" s="9" t="s">
        <v>8</v>
      </c>
      <c r="B22" s="9" t="s">
        <v>37</v>
      </c>
      <c r="C22" s="10">
        <f>B2+B3</f>
        <v>1200</v>
      </c>
      <c r="D22" s="10" t="s">
        <v>9</v>
      </c>
      <c r="E22" s="10">
        <v>1200</v>
      </c>
      <c r="L22" s="17"/>
      <c r="M22" s="17"/>
    </row>
    <row r="23" spans="1:13" ht="21" x14ac:dyDescent="0.5">
      <c r="A23" s="9" t="s">
        <v>10</v>
      </c>
      <c r="B23" s="9" t="s">
        <v>38</v>
      </c>
      <c r="C23" s="10">
        <f>B9+B10+B11</f>
        <v>800</v>
      </c>
      <c r="D23" s="10" t="s">
        <v>9</v>
      </c>
      <c r="E23" s="10">
        <v>800</v>
      </c>
      <c r="L23" s="17"/>
      <c r="M23" s="17"/>
    </row>
    <row r="24" spans="1:13" ht="21.5" customHeight="1" x14ac:dyDescent="0.5">
      <c r="A24" s="9" t="s">
        <v>11</v>
      </c>
      <c r="B24" s="9" t="s">
        <v>39</v>
      </c>
      <c r="C24" s="10">
        <f>B13+B14+B15</f>
        <v>1000</v>
      </c>
      <c r="D24" s="10" t="s">
        <v>9</v>
      </c>
      <c r="E24" s="10">
        <v>1000</v>
      </c>
      <c r="L24" s="17"/>
      <c r="M24" s="17"/>
    </row>
    <row r="25" spans="1:13" ht="19" customHeight="1" x14ac:dyDescent="0.5">
      <c r="A25" s="9" t="s">
        <v>12</v>
      </c>
      <c r="B25" s="11" t="s">
        <v>40</v>
      </c>
      <c r="C25" s="10">
        <f>B4-B13</f>
        <v>0</v>
      </c>
      <c r="D25" s="10" t="s">
        <v>9</v>
      </c>
      <c r="E25" s="10">
        <v>0</v>
      </c>
      <c r="L25" s="17"/>
      <c r="M25" s="17"/>
    </row>
    <row r="26" spans="1:13" ht="20.5" customHeight="1" x14ac:dyDescent="0.5">
      <c r="A26" s="9" t="s">
        <v>13</v>
      </c>
      <c r="B26" s="11" t="s">
        <v>41</v>
      </c>
      <c r="C26" s="10">
        <f>B5+B6-B12-B14</f>
        <v>-600</v>
      </c>
      <c r="D26" s="10" t="s">
        <v>9</v>
      </c>
      <c r="E26" s="10">
        <v>-600</v>
      </c>
      <c r="L26" s="17"/>
      <c r="M26" s="17"/>
    </row>
    <row r="27" spans="1:13" ht="20" customHeight="1" x14ac:dyDescent="0.5">
      <c r="A27" s="9" t="s">
        <v>14</v>
      </c>
      <c r="B27" s="12" t="s">
        <v>42</v>
      </c>
      <c r="C27" s="10">
        <f>B7+B8-B2</f>
        <v>-800</v>
      </c>
      <c r="D27" s="10" t="s">
        <v>9</v>
      </c>
      <c r="E27" s="10">
        <v>-800</v>
      </c>
      <c r="L27" s="17"/>
      <c r="M27" s="17"/>
    </row>
    <row r="28" spans="1:13" ht="20.5" customHeight="1" x14ac:dyDescent="0.5">
      <c r="A28" s="9" t="s">
        <v>15</v>
      </c>
      <c r="B28" s="12" t="s">
        <v>43</v>
      </c>
      <c r="C28" s="10">
        <f>-B9</f>
        <v>-300</v>
      </c>
      <c r="D28" s="10" t="s">
        <v>9</v>
      </c>
      <c r="E28" s="10">
        <v>-300</v>
      </c>
      <c r="L28" s="17"/>
      <c r="M28" s="17"/>
    </row>
    <row r="29" spans="1:13" ht="21" x14ac:dyDescent="0.5">
      <c r="A29" s="9" t="s">
        <v>16</v>
      </c>
      <c r="B29" s="12" t="s">
        <v>44</v>
      </c>
      <c r="C29" s="10">
        <f>-B3-B4</f>
        <v>-500</v>
      </c>
      <c r="D29" s="10" t="s">
        <v>9</v>
      </c>
      <c r="E29" s="10">
        <v>-500</v>
      </c>
      <c r="L29" s="17"/>
      <c r="M29" s="17"/>
    </row>
    <row r="30" spans="1:13" ht="21" x14ac:dyDescent="0.5">
      <c r="A30" s="9" t="s">
        <v>17</v>
      </c>
      <c r="B30" s="12" t="s">
        <v>45</v>
      </c>
      <c r="C30" s="13">
        <f>B12-B5-B10-B15</f>
        <v>-500</v>
      </c>
      <c r="D30" s="10" t="s">
        <v>9</v>
      </c>
      <c r="E30" s="10">
        <v>-500</v>
      </c>
      <c r="L30" s="17"/>
      <c r="M30" s="17"/>
    </row>
    <row r="31" spans="1:13" ht="18.5" x14ac:dyDescent="0.45">
      <c r="A31" s="9" t="s">
        <v>18</v>
      </c>
      <c r="B31" s="12" t="s">
        <v>46</v>
      </c>
      <c r="C31" s="10">
        <f>-B6-B8-B11</f>
        <v>-300</v>
      </c>
      <c r="D31" s="10" t="s">
        <v>9</v>
      </c>
      <c r="E31" s="10">
        <v>-300</v>
      </c>
    </row>
    <row r="33" spans="1:5" ht="18.5" x14ac:dyDescent="0.45">
      <c r="A33" s="7" t="s">
        <v>22</v>
      </c>
    </row>
    <row r="34" spans="1:5" ht="18.5" x14ac:dyDescent="0.45">
      <c r="A34" s="9" t="s">
        <v>20</v>
      </c>
      <c r="B34" s="12" t="s">
        <v>47</v>
      </c>
      <c r="C34" s="13">
        <f>B14</f>
        <v>500</v>
      </c>
      <c r="D34" s="13" t="s">
        <v>49</v>
      </c>
      <c r="E34" s="13">
        <v>500</v>
      </c>
    </row>
    <row r="35" spans="1:5" ht="18.5" x14ac:dyDescent="0.45">
      <c r="A35" s="9" t="s">
        <v>19</v>
      </c>
      <c r="B35" s="12" t="s">
        <v>48</v>
      </c>
      <c r="C35" s="13">
        <f>B11</f>
        <v>200</v>
      </c>
      <c r="D35" s="13" t="s">
        <v>49</v>
      </c>
      <c r="E35" s="13">
        <v>200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84D9-1E82-4E6B-ACD7-4DDB1FC3EA5D}">
  <dimension ref="A1:T35"/>
  <sheetViews>
    <sheetView showGridLines="0" zoomScale="50" zoomScaleNormal="50" workbookViewId="0">
      <selection activeCell="H22" sqref="H22"/>
    </sheetView>
  </sheetViews>
  <sheetFormatPr defaultColWidth="9.1796875" defaultRowHeight="14.5" x14ac:dyDescent="0.35"/>
  <cols>
    <col min="1" max="1" width="38.90625" style="2" customWidth="1"/>
    <col min="2" max="2" width="32.6328125" style="2" customWidth="1"/>
    <col min="3" max="3" width="14.1796875" style="2" bestFit="1" customWidth="1"/>
    <col min="4" max="5" width="9.1796875" style="2"/>
    <col min="6" max="6" width="4" style="2" customWidth="1"/>
    <col min="7" max="15" width="9.1796875" style="2"/>
    <col min="16" max="16" width="22.08984375" style="2" customWidth="1"/>
    <col min="17" max="17" width="33.1796875" style="2" customWidth="1"/>
    <col min="18" max="18" width="9.1796875" style="2"/>
    <col min="19" max="19" width="23.7265625" style="2" customWidth="1"/>
    <col min="20" max="20" width="32.81640625" style="2" customWidth="1"/>
    <col min="21" max="16384" width="9.1796875" style="2"/>
  </cols>
  <sheetData>
    <row r="1" spans="1:15" ht="20.5" customHeight="1" x14ac:dyDescent="0.35">
      <c r="A1" s="1" t="s">
        <v>3</v>
      </c>
      <c r="B1" s="1" t="s">
        <v>6</v>
      </c>
      <c r="C1" s="1" t="s">
        <v>5</v>
      </c>
    </row>
    <row r="2" spans="1:15" ht="15.5" x14ac:dyDescent="0.35">
      <c r="A2" s="1" t="s">
        <v>23</v>
      </c>
      <c r="B2" s="3">
        <v>600</v>
      </c>
      <c r="C2" s="4">
        <v>25</v>
      </c>
    </row>
    <row r="3" spans="1:15" ht="15.5" x14ac:dyDescent="0.35">
      <c r="A3" s="1" t="s">
        <v>24</v>
      </c>
      <c r="B3" s="3">
        <v>400</v>
      </c>
      <c r="C3" s="4">
        <v>20</v>
      </c>
    </row>
    <row r="4" spans="1:15" ht="15.5" x14ac:dyDescent="0.35">
      <c r="A4" s="1" t="s">
        <v>25</v>
      </c>
      <c r="B4" s="3">
        <v>100</v>
      </c>
      <c r="C4" s="4">
        <v>30</v>
      </c>
    </row>
    <row r="5" spans="1:15" ht="15.5" x14ac:dyDescent="0.35">
      <c r="A5" s="1" t="s">
        <v>26</v>
      </c>
      <c r="B5" s="3">
        <v>0</v>
      </c>
      <c r="C5" s="4">
        <v>20</v>
      </c>
    </row>
    <row r="6" spans="1:15" ht="15.5" x14ac:dyDescent="0.35">
      <c r="A6" s="1" t="s">
        <v>27</v>
      </c>
      <c r="B6" s="3">
        <v>100</v>
      </c>
      <c r="C6" s="4">
        <v>15</v>
      </c>
    </row>
    <row r="7" spans="1:15" ht="15.5" x14ac:dyDescent="0.35">
      <c r="A7" s="1" t="s">
        <v>28</v>
      </c>
      <c r="B7" s="3">
        <v>0</v>
      </c>
      <c r="C7" s="4">
        <v>20</v>
      </c>
    </row>
    <row r="8" spans="1:15" ht="15.5" x14ac:dyDescent="0.35">
      <c r="A8" s="1" t="s">
        <v>29</v>
      </c>
      <c r="B8" s="3">
        <v>0</v>
      </c>
      <c r="C8" s="4">
        <v>15</v>
      </c>
    </row>
    <row r="9" spans="1:15" ht="15.5" x14ac:dyDescent="0.35">
      <c r="A9" s="1" t="s">
        <v>30</v>
      </c>
      <c r="B9" s="3">
        <v>300</v>
      </c>
      <c r="C9" s="4">
        <v>20</v>
      </c>
    </row>
    <row r="10" spans="1:15" ht="15.5" x14ac:dyDescent="0.35">
      <c r="A10" s="1" t="s">
        <v>31</v>
      </c>
      <c r="B10" s="3">
        <v>300</v>
      </c>
      <c r="C10" s="4">
        <v>25</v>
      </c>
    </row>
    <row r="11" spans="1:15" ht="21" x14ac:dyDescent="0.5">
      <c r="A11" s="1" t="s">
        <v>32</v>
      </c>
      <c r="B11" s="3">
        <v>200</v>
      </c>
      <c r="C11" s="4">
        <v>30</v>
      </c>
      <c r="O11" s="14"/>
    </row>
    <row r="12" spans="1:15" ht="18.5" x14ac:dyDescent="0.45">
      <c r="A12" s="1" t="s">
        <v>33</v>
      </c>
      <c r="B12" s="3">
        <v>200</v>
      </c>
      <c r="C12" s="4">
        <v>20</v>
      </c>
      <c r="O12" s="16"/>
    </row>
    <row r="13" spans="1:15" ht="15.5" x14ac:dyDescent="0.35">
      <c r="A13" s="1" t="s">
        <v>34</v>
      </c>
      <c r="B13" s="3">
        <v>100</v>
      </c>
      <c r="C13" s="4">
        <v>50</v>
      </c>
    </row>
    <row r="14" spans="1:15" ht="15.5" x14ac:dyDescent="0.35">
      <c r="A14" s="1" t="s">
        <v>35</v>
      </c>
      <c r="B14" s="3">
        <v>500</v>
      </c>
      <c r="C14" s="4">
        <v>30</v>
      </c>
    </row>
    <row r="15" spans="1:15" ht="15.5" x14ac:dyDescent="0.35">
      <c r="A15" s="1" t="s">
        <v>36</v>
      </c>
      <c r="B15" s="3">
        <v>400</v>
      </c>
      <c r="C15" s="4">
        <v>20</v>
      </c>
    </row>
    <row r="18" spans="1:20" ht="18.5" x14ac:dyDescent="0.45">
      <c r="B18" s="5" t="s">
        <v>7</v>
      </c>
      <c r="C18" s="6">
        <f>SUMPRODUCT(B2:B15,C2:C15)</f>
        <v>79000</v>
      </c>
    </row>
    <row r="21" spans="1:20" ht="18.5" x14ac:dyDescent="0.45">
      <c r="A21" s="7" t="s">
        <v>4</v>
      </c>
      <c r="B21" s="8" t="s">
        <v>21</v>
      </c>
      <c r="C21" s="8" t="s">
        <v>0</v>
      </c>
      <c r="D21" s="8" t="s">
        <v>1</v>
      </c>
      <c r="E21" s="8" t="s">
        <v>2</v>
      </c>
    </row>
    <row r="22" spans="1:20" ht="23.5" x14ac:dyDescent="0.55000000000000004">
      <c r="A22" s="9" t="s">
        <v>8</v>
      </c>
      <c r="B22" s="9" t="s">
        <v>50</v>
      </c>
      <c r="C22" s="10">
        <f>B2+B3</f>
        <v>1000</v>
      </c>
      <c r="D22" s="10" t="s">
        <v>9</v>
      </c>
      <c r="E22" s="10">
        <v>1000</v>
      </c>
      <c r="H22" s="15" t="s">
        <v>56</v>
      </c>
    </row>
    <row r="23" spans="1:20" ht="23.5" x14ac:dyDescent="0.55000000000000004">
      <c r="A23" s="9" t="s">
        <v>10</v>
      </c>
      <c r="B23" s="9" t="s">
        <v>38</v>
      </c>
      <c r="C23" s="10">
        <f>B9+B10+B11</f>
        <v>800</v>
      </c>
      <c r="D23" s="10" t="s">
        <v>9</v>
      </c>
      <c r="E23" s="10">
        <v>800</v>
      </c>
      <c r="H23" s="15" t="s">
        <v>54</v>
      </c>
    </row>
    <row r="24" spans="1:20" ht="17" customHeight="1" x14ac:dyDescent="0.5">
      <c r="A24" s="9" t="s">
        <v>11</v>
      </c>
      <c r="B24" s="9" t="s">
        <v>39</v>
      </c>
      <c r="C24" s="10">
        <f>B13+B14+B15</f>
        <v>1000</v>
      </c>
      <c r="D24" s="10" t="s">
        <v>9</v>
      </c>
      <c r="E24" s="10">
        <v>1000</v>
      </c>
      <c r="H24" s="19"/>
      <c r="P24" s="17"/>
      <c r="Q24" s="17"/>
      <c r="S24" s="17"/>
      <c r="T24" s="18"/>
    </row>
    <row r="25" spans="1:20" ht="19" customHeight="1" x14ac:dyDescent="0.5">
      <c r="A25" s="9" t="s">
        <v>12</v>
      </c>
      <c r="B25" s="11" t="s">
        <v>40</v>
      </c>
      <c r="C25" s="10">
        <f>B4-B13</f>
        <v>0</v>
      </c>
      <c r="D25" s="10" t="s">
        <v>9</v>
      </c>
      <c r="E25" s="10">
        <v>0</v>
      </c>
      <c r="P25" s="17"/>
      <c r="Q25" s="17"/>
      <c r="S25" s="17"/>
      <c r="T25" s="17"/>
    </row>
    <row r="26" spans="1:20" ht="17.5" customHeight="1" x14ac:dyDescent="0.5">
      <c r="A26" s="9" t="s">
        <v>13</v>
      </c>
      <c r="B26" s="11" t="s">
        <v>41</v>
      </c>
      <c r="C26" s="10">
        <f>B5+B6-B12-B14</f>
        <v>-600</v>
      </c>
      <c r="D26" s="10" t="s">
        <v>51</v>
      </c>
      <c r="E26" s="10">
        <v>-600</v>
      </c>
      <c r="P26" s="17"/>
      <c r="Q26" s="17"/>
      <c r="S26" s="17"/>
      <c r="T26" s="17"/>
    </row>
    <row r="27" spans="1:20" ht="20" customHeight="1" x14ac:dyDescent="0.5">
      <c r="A27" s="9" t="s">
        <v>14</v>
      </c>
      <c r="B27" s="12" t="s">
        <v>42</v>
      </c>
      <c r="C27" s="10">
        <f>B7+B8-B2</f>
        <v>-600</v>
      </c>
      <c r="D27" s="10" t="s">
        <v>51</v>
      </c>
      <c r="E27" s="10">
        <v>-800</v>
      </c>
      <c r="P27" s="17"/>
      <c r="Q27" s="17"/>
      <c r="S27" s="17"/>
      <c r="T27" s="17"/>
    </row>
    <row r="28" spans="1:20" ht="20.5" customHeight="1" x14ac:dyDescent="0.5">
      <c r="A28" s="9" t="s">
        <v>15</v>
      </c>
      <c r="B28" s="12" t="s">
        <v>43</v>
      </c>
      <c r="C28" s="10">
        <f>-B9</f>
        <v>-300</v>
      </c>
      <c r="D28" s="10" t="s">
        <v>51</v>
      </c>
      <c r="E28" s="10">
        <v>-300</v>
      </c>
      <c r="P28" s="17"/>
      <c r="Q28" s="17"/>
      <c r="S28" s="17"/>
      <c r="T28" s="17"/>
    </row>
    <row r="29" spans="1:20" ht="21" x14ac:dyDescent="0.5">
      <c r="A29" s="9" t="s">
        <v>16</v>
      </c>
      <c r="B29" s="12" t="s">
        <v>44</v>
      </c>
      <c r="C29" s="10">
        <f>-B3-B4</f>
        <v>-500</v>
      </c>
      <c r="D29" s="10" t="s">
        <v>51</v>
      </c>
      <c r="E29" s="10">
        <v>-500</v>
      </c>
      <c r="P29" s="17"/>
      <c r="Q29" s="17"/>
      <c r="S29" s="17"/>
      <c r="T29" s="17"/>
    </row>
    <row r="30" spans="1:20" ht="21" x14ac:dyDescent="0.5">
      <c r="A30" s="9" t="s">
        <v>17</v>
      </c>
      <c r="B30" s="12" t="s">
        <v>45</v>
      </c>
      <c r="C30" s="13">
        <f>B12-B5-B10-B15</f>
        <v>-500</v>
      </c>
      <c r="D30" s="10" t="s">
        <v>51</v>
      </c>
      <c r="E30" s="10">
        <v>-500</v>
      </c>
      <c r="P30" s="17"/>
      <c r="Q30" s="17"/>
      <c r="S30" s="17"/>
      <c r="T30" s="17"/>
    </row>
    <row r="31" spans="1:20" ht="21" x14ac:dyDescent="0.5">
      <c r="A31" s="9" t="s">
        <v>18</v>
      </c>
      <c r="B31" s="12" t="s">
        <v>46</v>
      </c>
      <c r="C31" s="10">
        <f>-B6-B8-B11</f>
        <v>-300</v>
      </c>
      <c r="D31" s="10" t="s">
        <v>51</v>
      </c>
      <c r="E31" s="10">
        <v>-300</v>
      </c>
      <c r="P31" s="17"/>
      <c r="Q31" s="17"/>
      <c r="S31" s="17"/>
      <c r="T31" s="17"/>
    </row>
    <row r="32" spans="1:20" ht="21" x14ac:dyDescent="0.5">
      <c r="P32" s="17"/>
      <c r="Q32" s="17"/>
      <c r="S32" s="17"/>
      <c r="T32" s="17"/>
    </row>
    <row r="33" spans="1:5" ht="18.5" x14ac:dyDescent="0.45">
      <c r="A33" s="7" t="s">
        <v>22</v>
      </c>
    </row>
    <row r="34" spans="1:5" ht="18.5" x14ac:dyDescent="0.45">
      <c r="A34" s="9" t="s">
        <v>20</v>
      </c>
      <c r="B34" s="12" t="s">
        <v>47</v>
      </c>
      <c r="C34" s="13">
        <f>B14</f>
        <v>500</v>
      </c>
      <c r="D34" s="13" t="s">
        <v>49</v>
      </c>
      <c r="E34" s="13">
        <v>500</v>
      </c>
    </row>
    <row r="35" spans="1:5" ht="18.5" x14ac:dyDescent="0.45">
      <c r="A35" s="9" t="s">
        <v>19</v>
      </c>
      <c r="B35" s="12" t="s">
        <v>48</v>
      </c>
      <c r="C35" s="13">
        <f>B11</f>
        <v>200</v>
      </c>
      <c r="D35" s="13" t="s">
        <v>49</v>
      </c>
      <c r="E35" s="13">
        <v>200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9818-D0D8-4D11-AA49-A207A4FDDBDB}">
  <dimension ref="A1:T35"/>
  <sheetViews>
    <sheetView showGridLines="0" zoomScale="47" zoomScaleNormal="50" workbookViewId="0">
      <selection activeCell="G25" sqref="G25"/>
    </sheetView>
  </sheetViews>
  <sheetFormatPr defaultColWidth="9.1796875" defaultRowHeight="14.5" x14ac:dyDescent="0.35"/>
  <cols>
    <col min="1" max="1" width="38.90625" style="2" customWidth="1"/>
    <col min="2" max="2" width="32.6328125" style="2" customWidth="1"/>
    <col min="3" max="3" width="14.1796875" style="2" bestFit="1" customWidth="1"/>
    <col min="4" max="5" width="9.1796875" style="2"/>
    <col min="6" max="6" width="4" style="2" customWidth="1"/>
    <col min="7" max="16384" width="9.1796875" style="2"/>
  </cols>
  <sheetData>
    <row r="1" spans="1:16" ht="20.5" customHeight="1" x14ac:dyDescent="0.35">
      <c r="A1" s="1" t="s">
        <v>3</v>
      </c>
      <c r="B1" s="1" t="s">
        <v>6</v>
      </c>
      <c r="C1" s="1" t="s">
        <v>5</v>
      </c>
    </row>
    <row r="2" spans="1:16" ht="15.5" x14ac:dyDescent="0.35">
      <c r="A2" s="1" t="s">
        <v>23</v>
      </c>
      <c r="B2" s="3">
        <v>800</v>
      </c>
      <c r="C2" s="4">
        <v>25</v>
      </c>
    </row>
    <row r="3" spans="1:16" ht="15.5" x14ac:dyDescent="0.35">
      <c r="A3" s="1" t="s">
        <v>24</v>
      </c>
      <c r="B3" s="3">
        <v>400</v>
      </c>
      <c r="C3" s="4">
        <v>20</v>
      </c>
    </row>
    <row r="4" spans="1:16" ht="15.5" x14ac:dyDescent="0.35">
      <c r="A4" s="1" t="s">
        <v>25</v>
      </c>
      <c r="B4" s="3">
        <v>100</v>
      </c>
      <c r="C4" s="4">
        <v>30</v>
      </c>
    </row>
    <row r="5" spans="1:16" ht="15.5" x14ac:dyDescent="0.35">
      <c r="A5" s="1" t="s">
        <v>26</v>
      </c>
      <c r="B5" s="3">
        <v>0</v>
      </c>
      <c r="C5" s="4">
        <v>20</v>
      </c>
    </row>
    <row r="6" spans="1:16" ht="15.5" x14ac:dyDescent="0.35">
      <c r="A6" s="1" t="s">
        <v>27</v>
      </c>
      <c r="B6" s="3">
        <v>100</v>
      </c>
      <c r="C6" s="4">
        <v>15</v>
      </c>
    </row>
    <row r="7" spans="1:16" ht="15.5" x14ac:dyDescent="0.35">
      <c r="A7" s="1" t="s">
        <v>28</v>
      </c>
      <c r="B7" s="3">
        <v>0</v>
      </c>
      <c r="C7" s="4">
        <v>20</v>
      </c>
    </row>
    <row r="8" spans="1:16" ht="15.5" x14ac:dyDescent="0.35">
      <c r="A8" s="1" t="s">
        <v>29</v>
      </c>
      <c r="B8" s="3">
        <v>0</v>
      </c>
      <c r="C8" s="4">
        <v>15</v>
      </c>
    </row>
    <row r="9" spans="1:16" ht="21" x14ac:dyDescent="0.5">
      <c r="A9" s="1" t="s">
        <v>30</v>
      </c>
      <c r="B9" s="3">
        <v>300</v>
      </c>
      <c r="C9" s="4">
        <v>20</v>
      </c>
      <c r="P9" s="14" t="s">
        <v>52</v>
      </c>
    </row>
    <row r="10" spans="1:16" ht="15.5" x14ac:dyDescent="0.35">
      <c r="A10" s="1" t="s">
        <v>31</v>
      </c>
      <c r="B10" s="3">
        <v>200</v>
      </c>
      <c r="C10" s="4">
        <v>25</v>
      </c>
      <c r="P10" s="2" t="s">
        <v>55</v>
      </c>
    </row>
    <row r="11" spans="1:16" ht="15.5" x14ac:dyDescent="0.35">
      <c r="A11" s="1" t="s">
        <v>32</v>
      </c>
      <c r="B11" s="3">
        <v>200</v>
      </c>
      <c r="C11" s="4">
        <v>30</v>
      </c>
    </row>
    <row r="12" spans="1:16" ht="15.5" x14ac:dyDescent="0.35">
      <c r="A12" s="1" t="s">
        <v>33</v>
      </c>
      <c r="B12" s="3">
        <v>200</v>
      </c>
      <c r="C12" s="4">
        <v>20</v>
      </c>
    </row>
    <row r="13" spans="1:16" ht="15.5" x14ac:dyDescent="0.35">
      <c r="A13" s="1" t="s">
        <v>34</v>
      </c>
      <c r="B13" s="3">
        <v>100</v>
      </c>
      <c r="C13" s="4">
        <v>50</v>
      </c>
    </row>
    <row r="14" spans="1:16" ht="15.5" x14ac:dyDescent="0.35">
      <c r="A14" s="1" t="s">
        <v>35</v>
      </c>
      <c r="B14" s="3">
        <v>500</v>
      </c>
      <c r="C14" s="4">
        <v>30</v>
      </c>
    </row>
    <row r="15" spans="1:16" ht="15.5" x14ac:dyDescent="0.35">
      <c r="A15" s="1" t="s">
        <v>36</v>
      </c>
      <c r="B15" s="3">
        <v>400</v>
      </c>
      <c r="C15" s="4">
        <v>20</v>
      </c>
    </row>
    <row r="18" spans="1:20" ht="18.5" x14ac:dyDescent="0.45">
      <c r="B18" s="5" t="s">
        <v>7</v>
      </c>
      <c r="C18" s="6">
        <f>SUMPRODUCT(B2:B15,C2:C15)</f>
        <v>81500</v>
      </c>
    </row>
    <row r="21" spans="1:20" ht="18.5" x14ac:dyDescent="0.45">
      <c r="A21" s="7" t="s">
        <v>4</v>
      </c>
      <c r="B21" s="8" t="s">
        <v>21</v>
      </c>
      <c r="C21" s="8" t="s">
        <v>0</v>
      </c>
      <c r="D21" s="8" t="s">
        <v>1</v>
      </c>
      <c r="E21" s="8" t="s">
        <v>2</v>
      </c>
    </row>
    <row r="22" spans="1:20" ht="23.5" x14ac:dyDescent="0.55000000000000004">
      <c r="A22" s="9" t="s">
        <v>8</v>
      </c>
      <c r="B22" s="9" t="s">
        <v>37</v>
      </c>
      <c r="C22" s="10">
        <f>B2+B3</f>
        <v>1200</v>
      </c>
      <c r="D22" s="10" t="s">
        <v>49</v>
      </c>
      <c r="E22" s="10">
        <v>1200</v>
      </c>
      <c r="I22" s="15" t="s">
        <v>57</v>
      </c>
    </row>
    <row r="23" spans="1:20" ht="23.5" x14ac:dyDescent="0.55000000000000004">
      <c r="A23" s="9" t="s">
        <v>10</v>
      </c>
      <c r="B23" s="9" t="s">
        <v>38</v>
      </c>
      <c r="C23" s="10">
        <f>B9+B10+B11</f>
        <v>700</v>
      </c>
      <c r="D23" s="10" t="s">
        <v>49</v>
      </c>
      <c r="E23" s="10">
        <v>800</v>
      </c>
      <c r="I23" s="15" t="s">
        <v>53</v>
      </c>
      <c r="T23"/>
    </row>
    <row r="24" spans="1:20" ht="17" customHeight="1" x14ac:dyDescent="0.35">
      <c r="A24" s="9" t="s">
        <v>11</v>
      </c>
      <c r="B24" s="9" t="s">
        <v>39</v>
      </c>
      <c r="C24" s="10">
        <f>B13+B14+B15</f>
        <v>1000</v>
      </c>
      <c r="D24" s="10" t="s">
        <v>49</v>
      </c>
      <c r="E24" s="10">
        <v>1000</v>
      </c>
    </row>
    <row r="25" spans="1:20" ht="19" customHeight="1" x14ac:dyDescent="0.35">
      <c r="A25" s="9" t="s">
        <v>12</v>
      </c>
      <c r="B25" s="11" t="s">
        <v>40</v>
      </c>
      <c r="C25" s="10">
        <f>B4-B13</f>
        <v>0</v>
      </c>
      <c r="D25" s="10" t="s">
        <v>9</v>
      </c>
      <c r="E25" s="10">
        <v>0</v>
      </c>
    </row>
    <row r="26" spans="1:20" ht="17.5" customHeight="1" x14ac:dyDescent="0.35">
      <c r="A26" s="9" t="s">
        <v>13</v>
      </c>
      <c r="B26" s="11" t="s">
        <v>41</v>
      </c>
      <c r="C26" s="10">
        <f>B5+B6-B12-B14</f>
        <v>-600</v>
      </c>
      <c r="D26" s="10" t="s">
        <v>9</v>
      </c>
      <c r="E26" s="10">
        <v>-600</v>
      </c>
    </row>
    <row r="27" spans="1:20" ht="20" customHeight="1" x14ac:dyDescent="0.45">
      <c r="A27" s="9" t="s">
        <v>14</v>
      </c>
      <c r="B27" s="12" t="s">
        <v>42</v>
      </c>
      <c r="C27" s="10">
        <f>B7+B8-B2</f>
        <v>-800</v>
      </c>
      <c r="D27" s="10" t="s">
        <v>9</v>
      </c>
      <c r="E27" s="10">
        <v>-800</v>
      </c>
    </row>
    <row r="28" spans="1:20" ht="20.5" customHeight="1" x14ac:dyDescent="0.45">
      <c r="A28" s="9" t="s">
        <v>15</v>
      </c>
      <c r="B28" s="12" t="s">
        <v>43</v>
      </c>
      <c r="C28" s="10">
        <f>-B9</f>
        <v>-300</v>
      </c>
      <c r="D28" s="10" t="s">
        <v>9</v>
      </c>
      <c r="E28" s="10">
        <v>-300</v>
      </c>
    </row>
    <row r="29" spans="1:20" ht="18.5" x14ac:dyDescent="0.45">
      <c r="A29" s="9" t="s">
        <v>16</v>
      </c>
      <c r="B29" s="12" t="s">
        <v>44</v>
      </c>
      <c r="C29" s="10">
        <f>-B3-B4</f>
        <v>-500</v>
      </c>
      <c r="D29" s="10" t="s">
        <v>9</v>
      </c>
      <c r="E29" s="10">
        <v>-500</v>
      </c>
    </row>
    <row r="30" spans="1:20" ht="18.5" x14ac:dyDescent="0.45">
      <c r="A30" s="9" t="s">
        <v>17</v>
      </c>
      <c r="B30" s="12" t="s">
        <v>58</v>
      </c>
      <c r="C30" s="13">
        <f>B12-B5-B10-B15</f>
        <v>-400</v>
      </c>
      <c r="D30" s="10" t="s">
        <v>9</v>
      </c>
      <c r="E30" s="10">
        <v>-400</v>
      </c>
    </row>
    <row r="31" spans="1:20" ht="18.5" x14ac:dyDescent="0.45">
      <c r="A31" s="9" t="s">
        <v>18</v>
      </c>
      <c r="B31" s="12" t="s">
        <v>46</v>
      </c>
      <c r="C31" s="10">
        <f>-B6-B8-B11</f>
        <v>-300</v>
      </c>
      <c r="D31" s="10" t="s">
        <v>9</v>
      </c>
      <c r="E31" s="10">
        <v>-300</v>
      </c>
    </row>
    <row r="33" spans="1:5" ht="18.5" x14ac:dyDescent="0.45">
      <c r="A33" s="7" t="s">
        <v>22</v>
      </c>
    </row>
    <row r="34" spans="1:5" ht="18.5" x14ac:dyDescent="0.45">
      <c r="A34" s="9" t="s">
        <v>20</v>
      </c>
      <c r="B34" s="12" t="s">
        <v>47</v>
      </c>
      <c r="C34" s="13">
        <f>B14</f>
        <v>500</v>
      </c>
      <c r="D34" s="13" t="s">
        <v>49</v>
      </c>
      <c r="E34" s="13">
        <v>500</v>
      </c>
    </row>
    <row r="35" spans="1:5" ht="18.5" x14ac:dyDescent="0.45">
      <c r="A35" s="9" t="s">
        <v>19</v>
      </c>
      <c r="B35" s="12" t="s">
        <v>48</v>
      </c>
      <c r="C35" s="13">
        <f>B11</f>
        <v>200</v>
      </c>
      <c r="D35" s="13" t="s">
        <v>49</v>
      </c>
      <c r="E35" s="13">
        <v>200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3649-2697-4C38-A2F8-973C056CF3B0}">
  <dimension ref="A1"/>
  <sheetViews>
    <sheetView showGridLines="0" zoomScale="70" zoomScaleNormal="70" workbookViewId="0">
      <selection activeCell="T32" sqref="T32"/>
    </sheetView>
  </sheetViews>
  <sheetFormatPr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70f6a2e-9a0b-44bc-9fcb-55781401e2f0}" enabled="1" method="Standard" siteId="{f688b0d0-79f0-40a4-8644-35fcdee9d0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L20 MCF (WO arc cap)</vt:lpstr>
      <vt:lpstr>L20 MCF (with arc cap)</vt:lpstr>
      <vt:lpstr>L20 MCF (6a, S&lt;D)</vt:lpstr>
      <vt:lpstr>L20 MCF (6b, S&gt;D)</vt:lpstr>
      <vt:lpstr>Sheet1</vt:lpstr>
    </vt:vector>
  </TitlesOfParts>
  <Company>Republic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Fui Long</dc:creator>
  <cp:lastModifiedBy>KOH WEI XUAN CELEST</cp:lastModifiedBy>
  <dcterms:created xsi:type="dcterms:W3CDTF">2014-10-04T04:11:08Z</dcterms:created>
  <dcterms:modified xsi:type="dcterms:W3CDTF">2026-01-23T07:58:14Z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f6a2e-9a0b-44bc-9fcb-55781401e2f0_Enabled">
    <vt:lpwstr>true</vt:lpwstr>
  </property>
  <property fmtid="{D5CDD505-2E9C-101B-9397-08002B2CF9AE}" pid="3" name="MSIP_Label_b70f6a2e-9a0b-44bc-9fcb-55781401e2f0_SetDate">
    <vt:lpwstr>2021-10-20T09:22:11Z</vt:lpwstr>
  </property>
  <property fmtid="{D5CDD505-2E9C-101B-9397-08002B2CF9AE}" pid="4" name="MSIP_Label_b70f6a2e-9a0b-44bc-9fcb-55781401e2f0_Method">
    <vt:lpwstr>Standard</vt:lpwstr>
  </property>
  <property fmtid="{D5CDD505-2E9C-101B-9397-08002B2CF9AE}" pid="5" name="MSIP_Label_b70f6a2e-9a0b-44bc-9fcb-55781401e2f0_Name">
    <vt:lpwstr>NON-SENSITIVE</vt:lpwstr>
  </property>
  <property fmtid="{D5CDD505-2E9C-101B-9397-08002B2CF9AE}" pid="6" name="MSIP_Label_b70f6a2e-9a0b-44bc-9fcb-55781401e2f0_SiteId">
    <vt:lpwstr>f688b0d0-79f0-40a4-8644-35fcdee9d0f3</vt:lpwstr>
  </property>
  <property fmtid="{D5CDD505-2E9C-101B-9397-08002B2CF9AE}" pid="7" name="MSIP_Label_b70f6a2e-9a0b-44bc-9fcb-55781401e2f0_ActionId">
    <vt:lpwstr>02839cbd-b821-4d21-b262-6220fa754635</vt:lpwstr>
  </property>
  <property fmtid="{D5CDD505-2E9C-101B-9397-08002B2CF9AE}" pid="8" name="MSIP_Label_b70f6a2e-9a0b-44bc-9fcb-55781401e2f0_ContentBits">
    <vt:lpwstr>1</vt:lpwstr>
  </property>
  <property fmtid="{D5CDD505-2E9C-101B-9397-08002B2CF9AE}" pid="9" name="WorkbookGuid">
    <vt:lpwstr>02baa2ad-4849-4c69-9fa1-4acca1623335</vt:lpwstr>
  </property>
</Properties>
</file>