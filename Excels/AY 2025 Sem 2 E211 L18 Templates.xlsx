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rp-my.sharepoint.com/personal/23050193_myrp_edu_sg/Documents/DSCM/Y3SEM2/E211 Operations Planning II/LLP03 Distribution Network Optimization (L15-L20)/"/>
    </mc:Choice>
  </mc:AlternateContent>
  <xr:revisionPtr revIDLastSave="702" documentId="8_{38D51F4A-B8C3-4AED-B9F4-2621DAA98E49}" xr6:coauthVersionLast="47" xr6:coauthVersionMax="47" xr10:uidLastSave="{0F61A32D-2781-4EB7-9E4E-46B2BED794CF}"/>
  <bookViews>
    <workbookView xWindow="-110" yWindow="-110" windowWidth="19420" windowHeight="10300" activeTab="2" xr2:uid="{DBE82610-DE3B-4785-AFDB-F6B8695F2385}"/>
  </bookViews>
  <sheets>
    <sheet name="NN" sheetId="2" r:id="rId1"/>
    <sheet name="CWS" sheetId="1" r:id="rId2"/>
    <sheet name="CWS VehCa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8" i="3" l="1"/>
  <c r="O59" i="1"/>
  <c r="O58" i="1"/>
  <c r="O57" i="1"/>
  <c r="O56" i="1"/>
  <c r="O55" i="1"/>
  <c r="O54" i="1"/>
  <c r="O53" i="1"/>
  <c r="O52" i="1"/>
  <c r="O51" i="1"/>
  <c r="K26" i="1" l="1"/>
  <c r="K25" i="1"/>
  <c r="J25" i="1"/>
  <c r="J24" i="1"/>
  <c r="K24" i="1"/>
  <c r="I24" i="1"/>
  <c r="I23" i="1"/>
  <c r="G25" i="1" s="1"/>
  <c r="J23" i="1"/>
  <c r="K23" i="1"/>
  <c r="H23" i="1"/>
  <c r="H22" i="1"/>
  <c r="F24" i="1" s="1"/>
  <c r="I22" i="1"/>
  <c r="J22" i="1"/>
  <c r="K22" i="1"/>
  <c r="F27" i="1" s="1"/>
  <c r="G22" i="1"/>
  <c r="G21" i="1"/>
  <c r="H21" i="1"/>
  <c r="I21" i="1"/>
  <c r="E25" i="1" s="1"/>
  <c r="J21" i="1"/>
  <c r="K21" i="1"/>
  <c r="E27" i="1" s="1"/>
  <c r="F21" i="1"/>
  <c r="E22" i="1"/>
  <c r="F20" i="1"/>
  <c r="G20" i="1"/>
  <c r="H20" i="1"/>
  <c r="I20" i="1"/>
  <c r="J20" i="1"/>
  <c r="D26" i="1" s="1"/>
  <c r="K20" i="1"/>
  <c r="D25" i="1"/>
  <c r="E20" i="1"/>
  <c r="O58" i="3"/>
  <c r="O60" i="1"/>
  <c r="J27" i="1"/>
  <c r="I27" i="1"/>
  <c r="H27" i="1"/>
  <c r="G27" i="1"/>
  <c r="D27" i="1"/>
  <c r="I26" i="1"/>
  <c r="H26" i="1"/>
  <c r="G26" i="1"/>
  <c r="F26" i="1"/>
  <c r="E26" i="1"/>
  <c r="H25" i="1"/>
  <c r="F25" i="1"/>
  <c r="G24" i="1"/>
  <c r="E24" i="1"/>
  <c r="D24" i="1"/>
  <c r="F23" i="1"/>
  <c r="E23" i="1"/>
  <c r="D23" i="1"/>
  <c r="D22" i="1"/>
  <c r="D21" i="1"/>
  <c r="O16" i="2"/>
</calcChain>
</file>

<file path=xl/sharedStrings.xml><?xml version="1.0" encoding="utf-8"?>
<sst xmlns="http://schemas.openxmlformats.org/spreadsheetml/2006/main" count="483" uniqueCount="91">
  <si>
    <t>Clarke &amp; Wright Savings Method</t>
  </si>
  <si>
    <t>From</t>
  </si>
  <si>
    <t>To (Distance in km)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</si>
  <si>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</si>
  <si>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</si>
  <si>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</si>
  <si>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</si>
  <si>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</si>
  <si>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</si>
  <si>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</si>
  <si>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</si>
  <si>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</si>
  <si>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Serangoon North (Depot)</t>
  </si>
  <si>
    <t>Jalan Angklong</t>
  </si>
  <si>
    <t>Sumang link</t>
  </si>
  <si>
    <t>Rivervale Crescent</t>
  </si>
  <si>
    <t>Rivervale Street</t>
  </si>
  <si>
    <t>Jalan Pelikat</t>
  </si>
  <si>
    <t>Lorong Lew Lian</t>
  </si>
  <si>
    <t>Fernvale Link</t>
  </si>
  <si>
    <t>Sengkang West Way</t>
  </si>
  <si>
    <t>Savings</t>
  </si>
  <si>
    <t>-</t>
  </si>
  <si>
    <t>Rank</t>
  </si>
  <si>
    <t>Saving</t>
  </si>
  <si>
    <t>To</t>
  </si>
  <si>
    <t>Tour</t>
  </si>
  <si>
    <t>Remarks</t>
  </si>
  <si>
    <t>Distance</t>
  </si>
  <si>
    <t>Total Dist.</t>
  </si>
  <si>
    <t>km</t>
  </si>
  <si>
    <t>Distance Table</t>
  </si>
  <si>
    <t>Savings Table</t>
  </si>
  <si>
    <t>Tour Construction</t>
  </si>
  <si>
    <t xml:space="preserve">Route (tour): </t>
  </si>
  <si>
    <t>Nearest Neighbour Method</t>
  </si>
  <si>
    <t>Customer</t>
  </si>
  <si>
    <t>Delivery Load (kg)</t>
  </si>
  <si>
    <r>
      <t xml:space="preserve">Capacity of ExpressD’s vans is </t>
    </r>
    <r>
      <rPr>
        <b/>
        <sz val="12"/>
        <rFont val="Arial"/>
        <family val="2"/>
      </rPr>
      <t>600 kg</t>
    </r>
    <r>
      <rPr>
        <sz val="12"/>
        <rFont val="Arial"/>
        <family val="2"/>
      </rPr>
      <t>.</t>
    </r>
  </si>
  <si>
    <t>Clarke &amp; Wright Savings Method (with vehicle capacity)</t>
  </si>
  <si>
    <t>Route (tour): A-G-F-E-D-C-I-H-B-A</t>
  </si>
  <si>
    <t>A-C-D-E-A</t>
  </si>
  <si>
    <t>Join C and D</t>
  </si>
  <si>
    <t>C and E are already assigned to the same route</t>
  </si>
  <si>
    <t>(1) A-D-E-A</t>
  </si>
  <si>
    <t>(1) A-C-D-E-A</t>
  </si>
  <si>
    <t>D is not adjacent to A</t>
  </si>
  <si>
    <r>
      <t xml:space="preserve">(1) A-C-D-E-A
</t>
    </r>
    <r>
      <rPr>
        <b/>
        <sz val="11"/>
        <color rgb="FFFF0000"/>
        <rFont val="Arial"/>
        <family val="2"/>
      </rPr>
      <t>(2) A-H-I-A</t>
    </r>
  </si>
  <si>
    <r>
      <t xml:space="preserve">(1) A-C-D-E-A
(2) A-H-I-A
</t>
    </r>
    <r>
      <rPr>
        <b/>
        <sz val="11"/>
        <color rgb="FFFF0000"/>
        <rFont val="Arial"/>
        <family val="2"/>
      </rPr>
      <t>(3) A-F-G-A</t>
    </r>
  </si>
  <si>
    <t xml:space="preserve">Initiate new tour </t>
  </si>
  <si>
    <r>
      <t xml:space="preserve">(1) A-C-D-E-A
(2) A-H-I-A
</t>
    </r>
    <r>
      <rPr>
        <b/>
        <sz val="11"/>
        <color rgb="FFFF0000"/>
        <rFont val="Arial"/>
        <family val="2"/>
      </rPr>
      <t>(3) A-F-G-B-A</t>
    </r>
  </si>
  <si>
    <t>Join B and G</t>
  </si>
  <si>
    <t>Join E and H; Merge the 2 tours</t>
  </si>
  <si>
    <t>E and I are already assigned to the same route</t>
  </si>
  <si>
    <t>C and I are already assigned to the same route</t>
  </si>
  <si>
    <t>C and H are already assigned to the same route</t>
  </si>
  <si>
    <t>B and F are already assigned to the same route</t>
  </si>
  <si>
    <r>
      <rPr>
        <b/>
        <sz val="11"/>
        <color rgb="FFFF0000"/>
        <rFont val="Arial"/>
        <family val="2"/>
      </rPr>
      <t>(1) A-C-D-E-H-I-A</t>
    </r>
    <r>
      <rPr>
        <b/>
        <sz val="11"/>
        <rFont val="Arial"/>
        <family val="2"/>
      </rPr>
      <t xml:space="preserve">
(2) A-F-G-B-A</t>
    </r>
  </si>
  <si>
    <t>E is not adjacent to A</t>
  </si>
  <si>
    <t>A-C-D-E-H-I-B-G-F-A</t>
  </si>
  <si>
    <t>(1) A-C-D-E-H-I-B-G-F-A</t>
  </si>
  <si>
    <t>Join B and I; Merge the 2 tours</t>
  </si>
  <si>
    <t>Cumulative Load</t>
  </si>
  <si>
    <t>150+200=350</t>
  </si>
  <si>
    <t>Initiate a new route: A-D-E-A</t>
  </si>
  <si>
    <t>100+150+200=450</t>
  </si>
  <si>
    <t>Link C with D</t>
  </si>
  <si>
    <t>Link B with G</t>
  </si>
  <si>
    <t>100+150+200=450
180+90 = 270</t>
  </si>
  <si>
    <t>Initiate another route: A-H-I-A</t>
  </si>
  <si>
    <t>100+150+200=450
180+90 = 270
80+100=180</t>
  </si>
  <si>
    <t>Initiate another route: A-F-G-A</t>
  </si>
  <si>
    <t>100+150+200=450
180+90 = 270
80+100+150=330</t>
  </si>
  <si>
    <t>100+150+200+90=540, 180
80+100+150=330</t>
  </si>
  <si>
    <t>Cannot link E with H, because truck capacity (600 kg) will be violated, start new route for H.</t>
  </si>
  <si>
    <t>Both E and I are already in a route</t>
  </si>
  <si>
    <t>Both C and I are already in a route</t>
  </si>
  <si>
    <r>
      <rPr>
        <b/>
        <sz val="11"/>
        <color rgb="FFFF0000"/>
        <rFont val="Arial"/>
        <family val="2"/>
      </rPr>
      <t>(1) A-C-D-E-I-A
(2) A-H-A</t>
    </r>
    <r>
      <rPr>
        <b/>
        <sz val="11"/>
        <rFont val="Arial"/>
        <family val="2"/>
      </rPr>
      <t xml:space="preserve">
(3) A-F-G-B-A</t>
    </r>
  </si>
  <si>
    <t>Both B and F are already in a route</t>
  </si>
  <si>
    <t>Link B and I</t>
  </si>
  <si>
    <t>Cannot merge C with H, because truck capacity (600 kg) will be violated</t>
  </si>
  <si>
    <t>100+150+200=450, 180+90+150+100+80=600</t>
  </si>
  <si>
    <t>Truck 1</t>
  </si>
  <si>
    <t>Truck 2</t>
  </si>
  <si>
    <t>Route</t>
  </si>
  <si>
    <r>
      <rPr>
        <b/>
        <sz val="11"/>
        <color theme="1"/>
        <rFont val="Arial"/>
        <family val="2"/>
      </rPr>
      <t>CWS Original route: 
A-C-D-E-H-I-B-G-F-A</t>
    </r>
    <r>
      <rPr>
        <b/>
        <sz val="11"/>
        <color rgb="FFFF0000"/>
        <rFont val="Arial"/>
        <family val="2"/>
      </rPr>
      <t xml:space="preserve">
New route (With Vehicle Capacity):
(1) A-C-D-E-A
(2) A-H-I-B-G-F-A</t>
    </r>
  </si>
  <si>
    <t>C and E are already assigned 
to the same route</t>
  </si>
  <si>
    <t>Delivery Load
(KG)</t>
  </si>
  <si>
    <t>Truck 1: A-C-D-E-A, Truck 2: A-H-I-B-G-F-A</t>
  </si>
  <si>
    <t>Truck 1: A-C-D-E-A with load 450kg and total distance 16.6km
Truck 2: A-H-I-B-G-F-A with load 600kg and total distance 27.9km</t>
  </si>
  <si>
    <t>A-H-I-B-G-F-A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</si>
</sst>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2" x14ac:knownFonts="1">
    <font>
      <sz val="11"/>
      <name val="Arial"/>
      <family val="1"/>
    </font>
    <font>
      <u/>
      <sz val="14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u/>
      <sz val="14"/>
      <name val="Arial"/>
      <family val="1"/>
    </font>
    <font>
      <sz val="14"/>
      <color rgb="FF00000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rgb="FFFF0000"/>
      <name val="Arial"/>
      <family val="1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2D7F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3" fillId="0" borderId="0" xfId="0" applyFont="1" applyAlignment="1">
      <alignment horizontal="left" vertical="center" readingOrder="1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Font="1"/>
    <xf numFmtId="0" fontId="6" fillId="8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/>
    <xf numFmtId="0" fontId="10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readingOrder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 wrapText="1"/>
    </xf>
    <xf numFmtId="0" fontId="11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MySqlDefault" pivot="0" table="0" count="0" xr9:uid="{47059239-D683-4986-877B-8C0F19C572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10</xdr:col>
      <xdr:colOff>112915</xdr:colOff>
      <xdr:row>32</xdr:row>
      <xdr:rowOff>122382</xdr:rowOff>
    </xdr:to>
    <xdr:pic>
      <xdr:nvPicPr>
        <xdr:cNvPr id="2" name="Picture 1" descr="Map&#10;&#10;Description automatically generated">
          <a:extLst>
            <a:ext uri="{FF2B5EF4-FFF2-40B4-BE49-F238E27FC236}">
              <a16:creationId xmlns:a16="http://schemas.microsoft.com/office/drawing/2014/main" id="{19448A8C-C7D8-0DD4-C534-F71BE6101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65500"/>
          <a:ext cx="5902960" cy="2806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28224</xdr:colOff>
      <xdr:row>28</xdr:row>
      <xdr:rowOff>0</xdr:rowOff>
    </xdr:from>
    <xdr:to>
      <xdr:col>10</xdr:col>
      <xdr:colOff>141139</xdr:colOff>
      <xdr:row>43</xdr:row>
      <xdr:rowOff>122383</xdr:rowOff>
    </xdr:to>
    <xdr:pic>
      <xdr:nvPicPr>
        <xdr:cNvPr id="2" name="Picture 1" descr="Map&#10;&#10;Description automatically generated">
          <a:extLst>
            <a:ext uri="{FF2B5EF4-FFF2-40B4-BE49-F238E27FC236}">
              <a16:creationId xmlns:a16="http://schemas.microsoft.com/office/drawing/2014/main" id="{D2AA9788-7C2D-6786-4476-181FB4758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24" y="5319889"/>
          <a:ext cx="5877304" cy="2768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10</xdr:col>
      <xdr:colOff>112915</xdr:colOff>
      <xdr:row>36</xdr:row>
      <xdr:rowOff>92191</xdr:rowOff>
    </xdr:to>
    <xdr:pic>
      <xdr:nvPicPr>
        <xdr:cNvPr id="2" name="Picture 1" descr="Map&#10;&#10;Description automatically generated">
          <a:extLst>
            <a:ext uri="{FF2B5EF4-FFF2-40B4-BE49-F238E27FC236}">
              <a16:creationId xmlns:a16="http://schemas.microsoft.com/office/drawing/2014/main" id="{B4A7618A-5CC6-6977-B037-6695B841C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6864"/>
          <a:ext cx="5902960" cy="280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EE49-4C4E-45EE-A628-C1A629D96851}">
  <sheetPr>
    <tabColor rgb="FF92D050"/>
  </sheetPr>
  <dimension ref="A1:AD39"/>
  <sheetViews>
    <sheetView showGridLines="0" topLeftCell="A3" zoomScale="87" zoomScaleNormal="110" workbookViewId="0">
      <selection activeCell="P10" sqref="P10"/>
    </sheetView>
  </sheetViews>
  <sheetFormatPr defaultRowHeight="14" x14ac:dyDescent="0.3"/>
  <cols>
    <col min="1" max="1" width="23.25" customWidth="1"/>
    <col min="2" max="2" width="7.25" style="14" customWidth="1"/>
    <col min="3" max="11" width="5.6640625" style="14" customWidth="1"/>
    <col min="12" max="12" width="3.83203125" customWidth="1"/>
    <col min="13" max="14" width="7.5" customWidth="1"/>
    <col min="15" max="15" width="8.25" customWidth="1"/>
    <col min="16" max="16" width="7.5" customWidth="1"/>
    <col min="17" max="17" width="15.4140625" customWidth="1"/>
    <col min="18" max="18" width="25.5" customWidth="1"/>
  </cols>
  <sheetData>
    <row r="1" spans="1:19" ht="35.5" customHeight="1" x14ac:dyDescent="0.3">
      <c r="A1" s="46" t="s">
        <v>35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9" ht="14.5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9" ht="17.5" x14ac:dyDescent="0.3">
      <c r="D3" s="31" t="s">
        <v>31</v>
      </c>
    </row>
    <row r="4" spans="1:19" x14ac:dyDescent="0.3">
      <c r="A4" s="47" t="s">
        <v>1</v>
      </c>
      <c r="B4" s="47"/>
      <c r="C4" s="48" t="s">
        <v>2</v>
      </c>
      <c r="D4" s="48"/>
      <c r="E4" s="48"/>
      <c r="F4" s="48"/>
      <c r="G4" s="48"/>
      <c r="H4" s="48"/>
      <c r="I4" s="48"/>
      <c r="J4" s="48"/>
      <c r="K4" s="48"/>
      <c r="M4" s="25" t="s">
        <v>40</v>
      </c>
      <c r="N4" s="17"/>
      <c r="O4" s="17"/>
      <c r="P4" s="17"/>
    </row>
    <row r="5" spans="1:19" x14ac:dyDescent="0.3">
      <c r="A5" s="47"/>
      <c r="B5" s="47"/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M5" s="17"/>
      <c r="N5" s="17"/>
      <c r="O5" s="17"/>
      <c r="P5" s="17"/>
    </row>
    <row r="6" spans="1:19" ht="14.5" thickBot="1" x14ac:dyDescent="0.35">
      <c r="A6" s="3" t="s">
        <v>12</v>
      </c>
      <c r="B6" s="2" t="s">
        <v>3</v>
      </c>
      <c r="C6" s="37">
        <v>0</v>
      </c>
      <c r="D6" s="35">
        <v>8.1</v>
      </c>
      <c r="E6" s="35">
        <v>6</v>
      </c>
      <c r="F6" s="35">
        <v>6</v>
      </c>
      <c r="G6" s="35">
        <v>5.2</v>
      </c>
      <c r="H6" s="35">
        <v>4.3</v>
      </c>
      <c r="I6" s="38">
        <v>3.8</v>
      </c>
      <c r="J6" s="35">
        <v>4</v>
      </c>
      <c r="K6" s="35">
        <v>4</v>
      </c>
      <c r="M6" s="1" t="s">
        <v>1</v>
      </c>
      <c r="N6" s="1" t="s">
        <v>25</v>
      </c>
      <c r="O6" s="1" t="s">
        <v>28</v>
      </c>
      <c r="P6" s="26"/>
    </row>
    <row r="7" spans="1:19" ht="14.5" thickBot="1" x14ac:dyDescent="0.35">
      <c r="A7" s="3" t="s">
        <v>13</v>
      </c>
      <c r="B7" s="2" t="s">
        <v>4</v>
      </c>
      <c r="C7" s="35">
        <v>8.1</v>
      </c>
      <c r="D7" s="37">
        <v>0</v>
      </c>
      <c r="E7" s="35">
        <v>13.5</v>
      </c>
      <c r="F7" s="35">
        <v>14.4</v>
      </c>
      <c r="G7" s="35">
        <v>14.3</v>
      </c>
      <c r="H7" s="35">
        <v>9.1</v>
      </c>
      <c r="I7" s="35">
        <v>6.7</v>
      </c>
      <c r="J7" s="38">
        <v>9.5</v>
      </c>
      <c r="K7" s="35">
        <v>9.3000000000000007</v>
      </c>
      <c r="M7" s="18" t="s">
        <v>3</v>
      </c>
      <c r="N7" s="4" t="s">
        <v>9</v>
      </c>
      <c r="O7" s="4">
        <v>3.8</v>
      </c>
    </row>
    <row r="8" spans="1:19" ht="14.5" thickBot="1" x14ac:dyDescent="0.35">
      <c r="A8" s="3" t="s">
        <v>14</v>
      </c>
      <c r="B8" s="2" t="s">
        <v>5</v>
      </c>
      <c r="C8" s="35">
        <v>6</v>
      </c>
      <c r="D8" s="35">
        <v>13.5</v>
      </c>
      <c r="E8" s="37">
        <v>0</v>
      </c>
      <c r="F8" s="38">
        <v>3.7</v>
      </c>
      <c r="G8" s="35">
        <v>3.6</v>
      </c>
      <c r="H8" s="35">
        <v>9.1</v>
      </c>
      <c r="I8" s="35">
        <v>9.6999999999999993</v>
      </c>
      <c r="J8" s="35">
        <v>6.2</v>
      </c>
      <c r="K8" s="38">
        <v>5.6</v>
      </c>
      <c r="M8" s="18" t="s">
        <v>9</v>
      </c>
      <c r="N8" s="4" t="s">
        <v>8</v>
      </c>
      <c r="O8" s="4">
        <v>2.2999999999999998</v>
      </c>
    </row>
    <row r="9" spans="1:19" ht="14.5" thickBot="1" x14ac:dyDescent="0.35">
      <c r="A9" s="3" t="s">
        <v>15</v>
      </c>
      <c r="B9" s="2" t="s">
        <v>6</v>
      </c>
      <c r="C9" s="35">
        <v>6</v>
      </c>
      <c r="D9" s="35">
        <v>14.4</v>
      </c>
      <c r="E9" s="38">
        <v>3.7</v>
      </c>
      <c r="F9" s="37">
        <v>0</v>
      </c>
      <c r="G9" s="38">
        <v>1.7</v>
      </c>
      <c r="H9" s="35">
        <v>6.8</v>
      </c>
      <c r="I9" s="35">
        <v>7.1</v>
      </c>
      <c r="J9" s="35">
        <v>4.4000000000000004</v>
      </c>
      <c r="K9" s="35">
        <v>4.2</v>
      </c>
      <c r="M9" s="18" t="s">
        <v>8</v>
      </c>
      <c r="N9" s="4" t="s">
        <v>7</v>
      </c>
      <c r="O9" s="4">
        <v>6.5</v>
      </c>
    </row>
    <row r="10" spans="1:19" ht="14.5" thickBot="1" x14ac:dyDescent="0.35">
      <c r="A10" s="3" t="s">
        <v>16</v>
      </c>
      <c r="B10" s="2" t="s">
        <v>7</v>
      </c>
      <c r="C10" s="35">
        <v>5.2</v>
      </c>
      <c r="D10" s="35">
        <v>14.3</v>
      </c>
      <c r="E10" s="35">
        <v>3.6</v>
      </c>
      <c r="F10" s="38">
        <v>1.7</v>
      </c>
      <c r="G10" s="37">
        <v>0</v>
      </c>
      <c r="H10" s="35">
        <v>6.5</v>
      </c>
      <c r="I10" s="35">
        <v>7.1</v>
      </c>
      <c r="J10" s="35">
        <v>4.2</v>
      </c>
      <c r="K10" s="35">
        <v>4.5</v>
      </c>
      <c r="M10" s="18" t="s">
        <v>7</v>
      </c>
      <c r="N10" s="4" t="s">
        <v>6</v>
      </c>
      <c r="O10" s="4">
        <v>1.7</v>
      </c>
    </row>
    <row r="11" spans="1:19" ht="14.5" thickBot="1" x14ac:dyDescent="0.35">
      <c r="A11" s="3" t="s">
        <v>17</v>
      </c>
      <c r="B11" s="2" t="s">
        <v>8</v>
      </c>
      <c r="C11" s="35">
        <v>4.3</v>
      </c>
      <c r="D11" s="35">
        <v>9.1</v>
      </c>
      <c r="E11" s="35">
        <v>9.1</v>
      </c>
      <c r="F11" s="35">
        <v>6.8</v>
      </c>
      <c r="G11" s="38">
        <v>6.5</v>
      </c>
      <c r="H11" s="37">
        <v>0</v>
      </c>
      <c r="I11" s="38">
        <v>2.2999999999999998</v>
      </c>
      <c r="J11" s="35">
        <v>7.7</v>
      </c>
      <c r="K11" s="35">
        <v>8.1999999999999993</v>
      </c>
      <c r="M11" s="18" t="s">
        <v>6</v>
      </c>
      <c r="N11" s="4" t="s">
        <v>5</v>
      </c>
      <c r="O11" s="4">
        <v>3.7</v>
      </c>
    </row>
    <row r="12" spans="1:19" ht="14.5" thickBot="1" x14ac:dyDescent="0.35">
      <c r="A12" s="3" t="s">
        <v>18</v>
      </c>
      <c r="B12" s="2" t="s">
        <v>9</v>
      </c>
      <c r="C12" s="35">
        <v>3.8</v>
      </c>
      <c r="D12" s="35">
        <v>6.7</v>
      </c>
      <c r="E12" s="35">
        <v>9.6999999999999993</v>
      </c>
      <c r="F12" s="35">
        <v>7.1</v>
      </c>
      <c r="G12" s="35">
        <v>7.1</v>
      </c>
      <c r="H12" s="35">
        <v>2.2999999999999998</v>
      </c>
      <c r="I12" s="37">
        <v>0</v>
      </c>
      <c r="J12" s="35">
        <v>7.2</v>
      </c>
      <c r="K12" s="35">
        <v>6.6</v>
      </c>
      <c r="M12" s="18" t="s">
        <v>5</v>
      </c>
      <c r="N12" s="4" t="s">
        <v>11</v>
      </c>
      <c r="O12" s="4">
        <v>5.6</v>
      </c>
    </row>
    <row r="13" spans="1:19" ht="14.5" thickBot="1" x14ac:dyDescent="0.35">
      <c r="A13" s="3" t="s">
        <v>19</v>
      </c>
      <c r="B13" s="2" t="s">
        <v>10</v>
      </c>
      <c r="C13" s="35">
        <v>4</v>
      </c>
      <c r="D13" s="38">
        <v>9.5</v>
      </c>
      <c r="E13" s="35">
        <v>6.2</v>
      </c>
      <c r="F13" s="35">
        <v>4.4000000000000004</v>
      </c>
      <c r="G13" s="35">
        <v>4.2</v>
      </c>
      <c r="H13" s="35">
        <v>7.7</v>
      </c>
      <c r="I13" s="35">
        <v>7.2</v>
      </c>
      <c r="J13" s="37">
        <v>0</v>
      </c>
      <c r="K13" s="38">
        <v>1.3</v>
      </c>
      <c r="M13" s="18" t="s">
        <v>11</v>
      </c>
      <c r="N13" s="4" t="s">
        <v>10</v>
      </c>
      <c r="O13" s="4">
        <v>1.3</v>
      </c>
    </row>
    <row r="14" spans="1:19" ht="14.5" thickBot="1" x14ac:dyDescent="0.35">
      <c r="A14" s="3" t="s">
        <v>20</v>
      </c>
      <c r="B14" s="2" t="s">
        <v>11</v>
      </c>
      <c r="C14" s="35">
        <v>4</v>
      </c>
      <c r="D14" s="35">
        <v>9.3000000000000007</v>
      </c>
      <c r="E14" s="38">
        <v>5.6</v>
      </c>
      <c r="F14" s="35">
        <v>4.2</v>
      </c>
      <c r="G14" s="35">
        <v>4.5</v>
      </c>
      <c r="H14" s="35">
        <v>8.1999999999999993</v>
      </c>
      <c r="I14" s="35">
        <v>6.6</v>
      </c>
      <c r="J14" s="38">
        <v>1.3</v>
      </c>
      <c r="K14" s="37">
        <v>0</v>
      </c>
      <c r="M14" s="18" t="s">
        <v>10</v>
      </c>
      <c r="N14" s="4" t="s">
        <v>4</v>
      </c>
      <c r="O14" s="4">
        <v>9.5</v>
      </c>
    </row>
    <row r="15" spans="1:19" x14ac:dyDescent="0.3">
      <c r="M15" s="18" t="s">
        <v>4</v>
      </c>
      <c r="N15" s="4" t="s">
        <v>3</v>
      </c>
      <c r="O15" s="4">
        <v>8.1</v>
      </c>
    </row>
    <row r="16" spans="1:19" s="17" customFormat="1" x14ac:dyDescent="0.3">
      <c r="N16" s="27" t="s">
        <v>29</v>
      </c>
      <c r="O16" s="28">
        <f>SUM(O7:O15)</f>
        <v>42.500000000000007</v>
      </c>
      <c r="P16" s="29" t="s">
        <v>30</v>
      </c>
      <c r="Q16"/>
      <c r="R16" s="22"/>
      <c r="S16" s="22"/>
    </row>
    <row r="17" spans="12:30" s="17" customFormat="1" x14ac:dyDescent="0.3">
      <c r="Q17"/>
      <c r="R17" s="22"/>
      <c r="S17" s="22"/>
    </row>
    <row r="18" spans="12:30" s="17" customFormat="1" x14ac:dyDescent="0.3">
      <c r="Q18"/>
      <c r="R18" s="22"/>
      <c r="S18" s="22"/>
    </row>
    <row r="19" spans="12:30" s="17" customFormat="1" x14ac:dyDescent="0.3">
      <c r="Q19"/>
      <c r="R19"/>
      <c r="S19" s="22"/>
    </row>
    <row r="20" spans="12:30" s="17" customFormat="1" x14ac:dyDescent="0.3">
      <c r="L20"/>
      <c r="Q20"/>
      <c r="R20"/>
      <c r="S20" s="22"/>
    </row>
    <row r="21" spans="12:30" s="17" customFormat="1" x14ac:dyDescent="0.3">
      <c r="L21"/>
      <c r="Q21"/>
      <c r="R21"/>
      <c r="S21" s="22"/>
    </row>
    <row r="22" spans="12:30" s="17" customFormat="1" x14ac:dyDescent="0.3">
      <c r="L22"/>
      <c r="Q22"/>
      <c r="R22"/>
      <c r="S22" s="22"/>
    </row>
    <row r="23" spans="12:30" s="17" customFormat="1" x14ac:dyDescent="0.3">
      <c r="L23"/>
      <c r="Q23"/>
      <c r="R23"/>
      <c r="S23" s="22"/>
    </row>
    <row r="24" spans="12:30" s="17" customFormat="1" x14ac:dyDescent="0.3">
      <c r="L24"/>
      <c r="Q24"/>
      <c r="R24"/>
      <c r="S24" s="22"/>
    </row>
    <row r="25" spans="12:30" s="17" customFormat="1" x14ac:dyDescent="0.3">
      <c r="L25"/>
      <c r="Q25"/>
      <c r="R25"/>
      <c r="S25" s="22"/>
      <c r="T25"/>
      <c r="U25"/>
      <c r="V25"/>
      <c r="W25"/>
    </row>
    <row r="26" spans="12:30" s="17" customFormat="1" x14ac:dyDescent="0.3">
      <c r="L26"/>
      <c r="Q26"/>
      <c r="R26"/>
      <c r="S26" s="22"/>
      <c r="T26"/>
      <c r="U26"/>
      <c r="V26"/>
      <c r="W26"/>
    </row>
    <row r="27" spans="12:30" s="17" customFormat="1" x14ac:dyDescent="0.3">
      <c r="L27"/>
      <c r="Q27"/>
      <c r="R27"/>
      <c r="S27" s="22"/>
      <c r="T27"/>
      <c r="U27"/>
      <c r="V27"/>
      <c r="W27"/>
    </row>
    <row r="28" spans="12:30" x14ac:dyDescent="0.3">
      <c r="S28" s="22"/>
      <c r="X28" s="17"/>
      <c r="Y28" s="17"/>
      <c r="Z28" s="17"/>
      <c r="AA28" s="17"/>
      <c r="AB28" s="17"/>
      <c r="AC28" s="17"/>
      <c r="AD28" s="17"/>
    </row>
    <row r="29" spans="12:30" x14ac:dyDescent="0.3">
      <c r="S29" s="22"/>
      <c r="X29" s="17"/>
      <c r="Y29" s="17"/>
      <c r="Z29" s="17"/>
      <c r="AA29" s="17"/>
      <c r="AB29" s="17"/>
      <c r="AC29" s="17"/>
      <c r="AD29" s="17"/>
    </row>
    <row r="30" spans="12:30" x14ac:dyDescent="0.3">
      <c r="M30" s="17"/>
      <c r="N30" s="17"/>
      <c r="O30" s="17"/>
      <c r="P30" s="17"/>
      <c r="Q30" s="17"/>
      <c r="R30" s="17"/>
      <c r="S30" s="22"/>
      <c r="X30" s="17"/>
      <c r="Y30" s="17"/>
      <c r="Z30" s="17"/>
      <c r="AA30" s="17"/>
      <c r="AB30" s="17"/>
      <c r="AC30" s="17"/>
      <c r="AD30" s="17"/>
    </row>
    <row r="31" spans="12:30" x14ac:dyDescent="0.3">
      <c r="S31" s="22"/>
      <c r="X31" s="17"/>
      <c r="Y31" s="17"/>
      <c r="Z31" s="17"/>
      <c r="AA31" s="17"/>
      <c r="AB31" s="17"/>
      <c r="AC31" s="17"/>
      <c r="AD31" s="17"/>
    </row>
    <row r="32" spans="12:30" x14ac:dyDescent="0.3">
      <c r="S32" s="22"/>
      <c r="X32" s="17"/>
      <c r="Y32" s="17"/>
      <c r="Z32" s="17"/>
      <c r="AA32" s="17"/>
      <c r="AB32" s="17"/>
      <c r="AC32" s="17"/>
      <c r="AD32" s="17"/>
    </row>
    <row r="33" spans="19:30" x14ac:dyDescent="0.3">
      <c r="S33" s="22"/>
      <c r="X33" s="17"/>
      <c r="Y33" s="17"/>
      <c r="Z33" s="17"/>
      <c r="AA33" s="17"/>
      <c r="AB33" s="17"/>
      <c r="AC33" s="17"/>
      <c r="AD33" s="17"/>
    </row>
    <row r="34" spans="19:30" x14ac:dyDescent="0.3">
      <c r="S34" s="22"/>
      <c r="X34" s="17"/>
      <c r="Y34" s="17"/>
      <c r="Z34" s="17"/>
      <c r="AA34" s="17"/>
      <c r="AB34" s="17"/>
      <c r="AC34" s="17"/>
      <c r="AD34" s="17"/>
    </row>
    <row r="35" spans="19:30" x14ac:dyDescent="0.3">
      <c r="S35" s="22"/>
      <c r="X35" s="17"/>
      <c r="Y35" s="17"/>
      <c r="Z35" s="17"/>
      <c r="AA35" s="17"/>
      <c r="AB35" s="17"/>
      <c r="AC35" s="17"/>
      <c r="AD35" s="17"/>
    </row>
    <row r="36" spans="19:30" x14ac:dyDescent="0.3">
      <c r="S36" s="22"/>
      <c r="X36" s="17"/>
      <c r="Y36" s="17"/>
      <c r="Z36" s="17"/>
      <c r="AA36" s="17"/>
      <c r="AB36" s="17"/>
      <c r="AC36" s="17"/>
      <c r="AD36" s="17"/>
    </row>
    <row r="37" spans="19:30" x14ac:dyDescent="0.3">
      <c r="S37" s="22"/>
      <c r="X37" s="17"/>
      <c r="Y37" s="17"/>
      <c r="Z37" s="17"/>
      <c r="AA37" s="17"/>
      <c r="AB37" s="17"/>
      <c r="AC37" s="17"/>
      <c r="AD37" s="17"/>
    </row>
    <row r="38" spans="19:30" x14ac:dyDescent="0.3">
      <c r="S38" s="22"/>
      <c r="X38" s="17"/>
      <c r="Y38" s="17"/>
      <c r="Z38" s="17"/>
      <c r="AA38" s="17"/>
      <c r="AB38" s="17"/>
      <c r="AC38" s="17"/>
      <c r="AD38" s="17"/>
    </row>
    <row r="39" spans="19:30" x14ac:dyDescent="0.3"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</sheetData>
  <mergeCells count="3">
    <mergeCell ref="A1:K1"/>
    <mergeCell ref="A4:B5"/>
    <mergeCell ref="C4:K4"/>
  </mergeCells>
  <pageMargins left="0.7" right="0.7" top="0.75" bottom="0.75" header="0.3" footer="0.3"/>
  <pageSetup orientation="portrait" r:id="rId1"/>
  <headerFooter>
    <oddHeader>&amp;C&amp;"Calibri"&amp;10&amp;K000000 OFFICIAL (CLOSED) \ NON-SENSITIVE&amp;1#_x000D_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F3BD-61B6-4706-9218-D567D1DA0481}">
  <sheetPr>
    <tabColor rgb="FF92D050"/>
  </sheetPr>
  <dimension ref="A1:AD70"/>
  <sheetViews>
    <sheetView showGridLines="0" topLeftCell="A35" zoomScale="60" zoomScaleNormal="110" workbookViewId="0">
      <selection activeCell="Q51" sqref="Q51"/>
    </sheetView>
  </sheetViews>
  <sheetFormatPr defaultRowHeight="14" x14ac:dyDescent="0.3"/>
  <cols>
    <col min="1" max="1" width="23.25" customWidth="1"/>
    <col min="2" max="2" width="7.25" style="14" customWidth="1"/>
    <col min="3" max="11" width="5.6640625" style="14" customWidth="1"/>
    <col min="12" max="12" width="3.83203125" customWidth="1"/>
    <col min="13" max="13" width="11.9140625" customWidth="1"/>
    <col min="14" max="14" width="7.5" customWidth="1"/>
    <col min="15" max="15" width="8.25" customWidth="1"/>
    <col min="16" max="16" width="7.5" customWidth="1"/>
    <col min="17" max="17" width="33" customWidth="1"/>
    <col min="18" max="18" width="41.6640625" customWidth="1"/>
  </cols>
  <sheetData>
    <row r="1" spans="1:17" ht="35.5" customHeight="1" x14ac:dyDescent="0.3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7" ht="14.5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7" ht="17.5" x14ac:dyDescent="0.3">
      <c r="D3" s="31" t="s">
        <v>31</v>
      </c>
    </row>
    <row r="4" spans="1:17" x14ac:dyDescent="0.3">
      <c r="A4" s="47" t="s">
        <v>1</v>
      </c>
      <c r="B4" s="47"/>
      <c r="C4" s="48" t="s">
        <v>2</v>
      </c>
      <c r="D4" s="48"/>
      <c r="E4" s="48"/>
      <c r="F4" s="48"/>
      <c r="G4" s="48"/>
      <c r="H4" s="48"/>
      <c r="I4" s="48"/>
      <c r="J4" s="48"/>
      <c r="K4" s="48"/>
    </row>
    <row r="5" spans="1:17" x14ac:dyDescent="0.3">
      <c r="A5" s="47"/>
      <c r="B5" s="47"/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</row>
    <row r="6" spans="1:17" x14ac:dyDescent="0.3">
      <c r="A6" s="3" t="s">
        <v>12</v>
      </c>
      <c r="B6" s="2" t="s">
        <v>3</v>
      </c>
      <c r="C6" s="4">
        <v>0</v>
      </c>
      <c r="D6" s="4">
        <v>8.1</v>
      </c>
      <c r="E6" s="4">
        <v>6</v>
      </c>
      <c r="F6" s="4">
        <v>6</v>
      </c>
      <c r="G6" s="4">
        <v>5.2</v>
      </c>
      <c r="H6" s="4">
        <v>4.3</v>
      </c>
      <c r="I6" s="4">
        <v>3.8</v>
      </c>
      <c r="J6" s="4">
        <v>4</v>
      </c>
      <c r="K6" s="4">
        <v>4</v>
      </c>
    </row>
    <row r="7" spans="1:17" x14ac:dyDescent="0.3">
      <c r="A7" s="3" t="s">
        <v>13</v>
      </c>
      <c r="B7" s="2" t="s">
        <v>4</v>
      </c>
      <c r="C7" s="4">
        <v>8.1</v>
      </c>
      <c r="D7" s="4">
        <v>0</v>
      </c>
      <c r="E7" s="4">
        <v>13.5</v>
      </c>
      <c r="F7" s="4">
        <v>14.4</v>
      </c>
      <c r="G7" s="4">
        <v>14.3</v>
      </c>
      <c r="H7" s="4">
        <v>9.1</v>
      </c>
      <c r="I7" s="4">
        <v>6.7</v>
      </c>
      <c r="J7" s="4">
        <v>9.5</v>
      </c>
      <c r="K7" s="4">
        <v>9.3000000000000007</v>
      </c>
    </row>
    <row r="8" spans="1:17" x14ac:dyDescent="0.3">
      <c r="A8" s="3" t="s">
        <v>14</v>
      </c>
      <c r="B8" s="2" t="s">
        <v>5</v>
      </c>
      <c r="C8" s="4">
        <v>6</v>
      </c>
      <c r="D8" s="4">
        <v>13.5</v>
      </c>
      <c r="E8" s="4">
        <v>0</v>
      </c>
      <c r="F8" s="4">
        <v>3.7</v>
      </c>
      <c r="G8" s="4">
        <v>3.6</v>
      </c>
      <c r="H8" s="4">
        <v>9.1</v>
      </c>
      <c r="I8" s="4">
        <v>9.6999999999999993</v>
      </c>
      <c r="J8" s="4">
        <v>6.2</v>
      </c>
      <c r="K8" s="4">
        <v>5.6</v>
      </c>
    </row>
    <row r="9" spans="1:17" x14ac:dyDescent="0.3">
      <c r="A9" s="3" t="s">
        <v>15</v>
      </c>
      <c r="B9" s="2" t="s">
        <v>6</v>
      </c>
      <c r="C9" s="4">
        <v>6</v>
      </c>
      <c r="D9" s="4">
        <v>14.4</v>
      </c>
      <c r="E9" s="4">
        <v>3.7</v>
      </c>
      <c r="F9" s="4">
        <v>0</v>
      </c>
      <c r="G9" s="4">
        <v>1.7</v>
      </c>
      <c r="H9" s="4">
        <v>6.8</v>
      </c>
      <c r="I9" s="4">
        <v>7.1</v>
      </c>
      <c r="J9" s="4">
        <v>4.4000000000000004</v>
      </c>
      <c r="K9" s="4">
        <v>4.2</v>
      </c>
    </row>
    <row r="10" spans="1:17" x14ac:dyDescent="0.3">
      <c r="A10" s="3" t="s">
        <v>16</v>
      </c>
      <c r="B10" s="2" t="s">
        <v>7</v>
      </c>
      <c r="C10" s="4">
        <v>5.2</v>
      </c>
      <c r="D10" s="4">
        <v>14.3</v>
      </c>
      <c r="E10" s="4">
        <v>3.6</v>
      </c>
      <c r="F10" s="4">
        <v>1.7</v>
      </c>
      <c r="G10" s="4">
        <v>0</v>
      </c>
      <c r="H10" s="4">
        <v>6.5</v>
      </c>
      <c r="I10" s="4">
        <v>7.1</v>
      </c>
      <c r="J10" s="4">
        <v>4.2</v>
      </c>
      <c r="K10" s="4">
        <v>4.5</v>
      </c>
    </row>
    <row r="11" spans="1:17" x14ac:dyDescent="0.3">
      <c r="A11" s="3" t="s">
        <v>17</v>
      </c>
      <c r="B11" s="2" t="s">
        <v>8</v>
      </c>
      <c r="C11" s="4">
        <v>4.3</v>
      </c>
      <c r="D11" s="4">
        <v>9.1</v>
      </c>
      <c r="E11" s="4">
        <v>9.1</v>
      </c>
      <c r="F11" s="4">
        <v>6.8</v>
      </c>
      <c r="G11" s="4">
        <v>6.5</v>
      </c>
      <c r="H11" s="4">
        <v>0</v>
      </c>
      <c r="I11" s="4">
        <v>2.2999999999999998</v>
      </c>
      <c r="J11" s="4">
        <v>7.7</v>
      </c>
      <c r="K11" s="4">
        <v>8.1999999999999993</v>
      </c>
    </row>
    <row r="12" spans="1:17" x14ac:dyDescent="0.3">
      <c r="A12" s="3" t="s">
        <v>18</v>
      </c>
      <c r="B12" s="2" t="s">
        <v>9</v>
      </c>
      <c r="C12" s="4">
        <v>3.8</v>
      </c>
      <c r="D12" s="4">
        <v>6.7</v>
      </c>
      <c r="E12" s="4">
        <v>9.6999999999999993</v>
      </c>
      <c r="F12" s="4">
        <v>7.1</v>
      </c>
      <c r="G12" s="4">
        <v>7.1</v>
      </c>
      <c r="H12" s="4">
        <v>2.2999999999999998</v>
      </c>
      <c r="I12" s="4">
        <v>0</v>
      </c>
      <c r="J12" s="4">
        <v>7.2</v>
      </c>
      <c r="K12" s="4">
        <v>6.6</v>
      </c>
    </row>
    <row r="13" spans="1:17" x14ac:dyDescent="0.3">
      <c r="A13" s="3" t="s">
        <v>19</v>
      </c>
      <c r="B13" s="2" t="s">
        <v>10</v>
      </c>
      <c r="C13" s="4">
        <v>4</v>
      </c>
      <c r="D13" s="4">
        <v>9.5</v>
      </c>
      <c r="E13" s="4">
        <v>6.2</v>
      </c>
      <c r="F13" s="4">
        <v>4.4000000000000004</v>
      </c>
      <c r="G13" s="4">
        <v>4.2</v>
      </c>
      <c r="H13" s="4">
        <v>7.7</v>
      </c>
      <c r="I13" s="4">
        <v>7.2</v>
      </c>
      <c r="J13" s="4">
        <v>0</v>
      </c>
      <c r="K13" s="4">
        <v>1.3</v>
      </c>
    </row>
    <row r="14" spans="1:17" x14ac:dyDescent="0.3">
      <c r="A14" s="3" t="s">
        <v>20</v>
      </c>
      <c r="B14" s="2" t="s">
        <v>11</v>
      </c>
      <c r="C14" s="4">
        <v>4</v>
      </c>
      <c r="D14" s="4">
        <v>9.3000000000000007</v>
      </c>
      <c r="E14" s="4">
        <v>5.6</v>
      </c>
      <c r="F14" s="4">
        <v>4.2</v>
      </c>
      <c r="G14" s="4">
        <v>4.5</v>
      </c>
      <c r="H14" s="4">
        <v>8.1999999999999993</v>
      </c>
      <c r="I14" s="4">
        <v>6.6</v>
      </c>
      <c r="J14" s="4">
        <v>1.3</v>
      </c>
      <c r="K14" s="4">
        <v>0</v>
      </c>
    </row>
    <row r="16" spans="1:17" ht="17.5" x14ac:dyDescent="0.3">
      <c r="D16" s="31" t="s">
        <v>32</v>
      </c>
      <c r="Q16" s="31" t="s">
        <v>33</v>
      </c>
    </row>
    <row r="17" spans="1:24" x14ac:dyDescent="0.3">
      <c r="A17" s="47" t="s">
        <v>1</v>
      </c>
      <c r="B17" s="47"/>
      <c r="C17" s="48" t="s">
        <v>21</v>
      </c>
      <c r="D17" s="48"/>
      <c r="E17" s="48"/>
      <c r="F17" s="48"/>
      <c r="G17" s="48"/>
      <c r="H17" s="48"/>
      <c r="I17" s="48"/>
      <c r="J17" s="48"/>
      <c r="K17" s="48"/>
    </row>
    <row r="18" spans="1:24" x14ac:dyDescent="0.3">
      <c r="A18" s="47"/>
      <c r="B18" s="47"/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M18" s="15" t="s">
        <v>23</v>
      </c>
      <c r="N18" s="15" t="s">
        <v>24</v>
      </c>
      <c r="O18" s="15" t="s">
        <v>1</v>
      </c>
      <c r="P18" s="15" t="s">
        <v>25</v>
      </c>
      <c r="Q18" s="15" t="s">
        <v>26</v>
      </c>
      <c r="R18" s="15" t="s">
        <v>27</v>
      </c>
    </row>
    <row r="19" spans="1:24" x14ac:dyDescent="0.3">
      <c r="A19" s="3" t="s">
        <v>12</v>
      </c>
      <c r="B19" s="1" t="s">
        <v>3</v>
      </c>
      <c r="C19" s="5" t="s">
        <v>22</v>
      </c>
      <c r="D19" s="5" t="s">
        <v>22</v>
      </c>
      <c r="E19" s="5" t="s">
        <v>22</v>
      </c>
      <c r="F19" s="5" t="s">
        <v>22</v>
      </c>
      <c r="G19" s="5" t="s">
        <v>22</v>
      </c>
      <c r="H19" s="5" t="s">
        <v>22</v>
      </c>
      <c r="I19" s="5" t="s">
        <v>22</v>
      </c>
      <c r="J19" s="5" t="s">
        <v>22</v>
      </c>
      <c r="K19" s="5" t="s">
        <v>22</v>
      </c>
      <c r="M19" s="18">
        <v>1</v>
      </c>
      <c r="N19" s="19">
        <v>9.5</v>
      </c>
      <c r="O19" s="18" t="s">
        <v>6</v>
      </c>
      <c r="P19" s="18" t="s">
        <v>7</v>
      </c>
      <c r="Q19" s="20" t="s">
        <v>44</v>
      </c>
      <c r="R19" s="21" t="s">
        <v>49</v>
      </c>
    </row>
    <row r="20" spans="1:24" x14ac:dyDescent="0.3">
      <c r="A20" s="3" t="s">
        <v>13</v>
      </c>
      <c r="B20" s="1" t="s">
        <v>4</v>
      </c>
      <c r="C20" s="5" t="s">
        <v>22</v>
      </c>
      <c r="D20" s="5" t="s">
        <v>22</v>
      </c>
      <c r="E20" s="6">
        <f>$D$6+E6-E7</f>
        <v>0.59999999999999964</v>
      </c>
      <c r="F20" s="6">
        <f t="shared" ref="F20:K20" si="0">$D$6+F6-F7</f>
        <v>-0.30000000000000071</v>
      </c>
      <c r="G20" s="6">
        <f t="shared" si="0"/>
        <v>-1</v>
      </c>
      <c r="H20" s="6">
        <f t="shared" si="0"/>
        <v>3.2999999999999989</v>
      </c>
      <c r="I20" s="6">
        <f t="shared" si="0"/>
        <v>5.1999999999999984</v>
      </c>
      <c r="J20" s="6">
        <f t="shared" si="0"/>
        <v>2.5999999999999996</v>
      </c>
      <c r="K20" s="6">
        <f t="shared" si="0"/>
        <v>2.7999999999999989</v>
      </c>
      <c r="L20" s="17"/>
      <c r="M20" s="18">
        <v>2</v>
      </c>
      <c r="N20" s="19">
        <v>8.3000000000000007</v>
      </c>
      <c r="O20" s="18" t="s">
        <v>5</v>
      </c>
      <c r="P20" s="18" t="s">
        <v>6</v>
      </c>
      <c r="Q20" s="20" t="s">
        <v>45</v>
      </c>
      <c r="R20" s="21" t="s">
        <v>42</v>
      </c>
    </row>
    <row r="21" spans="1:24" x14ac:dyDescent="0.3">
      <c r="A21" s="3" t="s">
        <v>14</v>
      </c>
      <c r="B21" s="1" t="s">
        <v>5</v>
      </c>
      <c r="C21" s="5" t="s">
        <v>22</v>
      </c>
      <c r="D21" s="4">
        <f>E20</f>
        <v>0.59999999999999964</v>
      </c>
      <c r="E21" s="5" t="s">
        <v>22</v>
      </c>
      <c r="F21" s="6">
        <f>$E$6+F6-F8</f>
        <v>8.3000000000000007</v>
      </c>
      <c r="G21" s="6">
        <f t="shared" ref="G21:K21" si="1">$E$6+G6-G8</f>
        <v>7.6</v>
      </c>
      <c r="H21" s="6">
        <f t="shared" si="1"/>
        <v>1.2000000000000011</v>
      </c>
      <c r="I21" s="6">
        <f t="shared" si="1"/>
        <v>0.10000000000000142</v>
      </c>
      <c r="J21" s="6">
        <f t="shared" si="1"/>
        <v>3.8</v>
      </c>
      <c r="K21" s="6">
        <f t="shared" si="1"/>
        <v>4.4000000000000004</v>
      </c>
      <c r="L21" s="17"/>
      <c r="M21" s="18">
        <v>3</v>
      </c>
      <c r="N21" s="19">
        <v>7.6</v>
      </c>
      <c r="O21" s="18" t="s">
        <v>5</v>
      </c>
      <c r="P21" s="18" t="s">
        <v>7</v>
      </c>
      <c r="Q21" s="21"/>
      <c r="R21" s="21" t="s">
        <v>43</v>
      </c>
    </row>
    <row r="22" spans="1:24" ht="28" x14ac:dyDescent="0.3">
      <c r="A22" s="3" t="s">
        <v>15</v>
      </c>
      <c r="B22" s="1" t="s">
        <v>6</v>
      </c>
      <c r="C22" s="5" t="s">
        <v>22</v>
      </c>
      <c r="D22" s="4">
        <f>F20</f>
        <v>-0.30000000000000071</v>
      </c>
      <c r="E22" s="7">
        <f>F21</f>
        <v>8.3000000000000007</v>
      </c>
      <c r="F22" s="5" t="s">
        <v>22</v>
      </c>
      <c r="G22" s="6">
        <f>$F$6+G6-G9</f>
        <v>9.5</v>
      </c>
      <c r="H22" s="6">
        <f t="shared" ref="H22:K22" si="2">$F$6+H6-H9</f>
        <v>3.5000000000000009</v>
      </c>
      <c r="I22" s="6">
        <f t="shared" si="2"/>
        <v>2.7000000000000011</v>
      </c>
      <c r="J22" s="6">
        <f t="shared" si="2"/>
        <v>5.6</v>
      </c>
      <c r="K22" s="6">
        <f t="shared" si="2"/>
        <v>5.8</v>
      </c>
      <c r="L22" s="17"/>
      <c r="M22" s="18">
        <v>4</v>
      </c>
      <c r="N22" s="19">
        <v>6.7</v>
      </c>
      <c r="O22" s="18" t="s">
        <v>10</v>
      </c>
      <c r="P22" s="18" t="s">
        <v>11</v>
      </c>
      <c r="Q22" s="23" t="s">
        <v>47</v>
      </c>
      <c r="R22" s="21" t="s">
        <v>49</v>
      </c>
    </row>
    <row r="23" spans="1:24" x14ac:dyDescent="0.3">
      <c r="A23" s="3" t="s">
        <v>16</v>
      </c>
      <c r="B23" s="1" t="s">
        <v>7</v>
      </c>
      <c r="C23" s="5" t="s">
        <v>22</v>
      </c>
      <c r="D23" s="4">
        <f>G20</f>
        <v>-1</v>
      </c>
      <c r="E23" s="4">
        <f>G21</f>
        <v>7.6</v>
      </c>
      <c r="F23" s="8">
        <f>G22</f>
        <v>9.5</v>
      </c>
      <c r="G23" s="5" t="s">
        <v>22</v>
      </c>
      <c r="H23" s="6">
        <f>$G$6+H6-H10</f>
        <v>3</v>
      </c>
      <c r="I23" s="6">
        <f t="shared" ref="I23:K23" si="3">$G$6+I6-I10</f>
        <v>1.9000000000000004</v>
      </c>
      <c r="J23" s="6">
        <f t="shared" si="3"/>
        <v>4.9999999999999991</v>
      </c>
      <c r="K23" s="6">
        <f t="shared" si="3"/>
        <v>4.6999999999999993</v>
      </c>
      <c r="L23" s="17"/>
      <c r="M23" s="18">
        <v>5</v>
      </c>
      <c r="N23" s="19">
        <v>5.8</v>
      </c>
      <c r="O23" s="18" t="s">
        <v>6</v>
      </c>
      <c r="P23" s="18" t="s">
        <v>11</v>
      </c>
      <c r="Q23" s="21"/>
      <c r="R23" s="21" t="s">
        <v>46</v>
      </c>
    </row>
    <row r="24" spans="1:24" ht="42" x14ac:dyDescent="0.3">
      <c r="A24" s="3" t="s">
        <v>17</v>
      </c>
      <c r="B24" s="1" t="s">
        <v>8</v>
      </c>
      <c r="C24" s="5" t="s">
        <v>22</v>
      </c>
      <c r="D24" s="4">
        <f>H20</f>
        <v>3.2999999999999989</v>
      </c>
      <c r="E24" s="4">
        <f>H21</f>
        <v>1.2000000000000011</v>
      </c>
      <c r="F24" s="4">
        <f>H22</f>
        <v>3.5000000000000009</v>
      </c>
      <c r="G24" s="9">
        <f>H23</f>
        <v>3</v>
      </c>
      <c r="H24" s="5" t="s">
        <v>22</v>
      </c>
      <c r="I24" s="6">
        <f>$H$6+I6-I11</f>
        <v>5.8</v>
      </c>
      <c r="J24" s="6">
        <f t="shared" ref="J24:K24" si="4">$H$6+J6-J11</f>
        <v>0.60000000000000053</v>
      </c>
      <c r="K24" s="6">
        <f t="shared" si="4"/>
        <v>0.10000000000000142</v>
      </c>
      <c r="L24" s="17"/>
      <c r="M24" s="18">
        <v>6</v>
      </c>
      <c r="N24" s="19">
        <v>5.8</v>
      </c>
      <c r="O24" s="18" t="s">
        <v>8</v>
      </c>
      <c r="P24" s="18" t="s">
        <v>9</v>
      </c>
      <c r="Q24" s="23" t="s">
        <v>48</v>
      </c>
      <c r="R24" s="21" t="s">
        <v>49</v>
      </c>
    </row>
    <row r="25" spans="1:24" x14ac:dyDescent="0.3">
      <c r="A25" s="3" t="s">
        <v>18</v>
      </c>
      <c r="B25" s="1" t="s">
        <v>9</v>
      </c>
      <c r="C25" s="5" t="s">
        <v>22</v>
      </c>
      <c r="D25" s="4">
        <f>I20</f>
        <v>5.1999999999999984</v>
      </c>
      <c r="E25" s="4">
        <f>I21</f>
        <v>0.10000000000000142</v>
      </c>
      <c r="F25" s="4">
        <f>I22</f>
        <v>2.7000000000000011</v>
      </c>
      <c r="G25" s="4">
        <f>I23</f>
        <v>1.9000000000000004</v>
      </c>
      <c r="H25" s="10">
        <f>I24</f>
        <v>5.8</v>
      </c>
      <c r="I25" s="5" t="s">
        <v>22</v>
      </c>
      <c r="J25" s="6">
        <f>$I$6+J6-J12</f>
        <v>0.59999999999999964</v>
      </c>
      <c r="K25" s="6">
        <f>$I$6+K6-K12</f>
        <v>1.2000000000000002</v>
      </c>
      <c r="L25" s="17"/>
      <c r="M25" s="18">
        <v>7</v>
      </c>
      <c r="N25" s="19">
        <v>5.6</v>
      </c>
      <c r="O25" s="18" t="s">
        <v>6</v>
      </c>
      <c r="P25" s="18" t="s">
        <v>10</v>
      </c>
      <c r="R25" s="21" t="s">
        <v>46</v>
      </c>
    </row>
    <row r="26" spans="1:24" ht="42" x14ac:dyDescent="0.3">
      <c r="A26" s="3" t="s">
        <v>19</v>
      </c>
      <c r="B26" s="1" t="s">
        <v>10</v>
      </c>
      <c r="C26" s="5" t="s">
        <v>22</v>
      </c>
      <c r="D26" s="6">
        <f>J20</f>
        <v>2.5999999999999996</v>
      </c>
      <c r="E26" s="4">
        <f>J21</f>
        <v>3.8</v>
      </c>
      <c r="F26" s="4">
        <f>J22</f>
        <v>5.6</v>
      </c>
      <c r="G26" s="4">
        <f>J23</f>
        <v>4.9999999999999991</v>
      </c>
      <c r="H26" s="4">
        <f>J24</f>
        <v>0.60000000000000053</v>
      </c>
      <c r="I26" s="11">
        <f>J25</f>
        <v>0.59999999999999964</v>
      </c>
      <c r="J26" s="5" t="s">
        <v>22</v>
      </c>
      <c r="K26" s="6">
        <f>J6+K6-K13</f>
        <v>6.7</v>
      </c>
      <c r="L26" s="17"/>
      <c r="M26" s="18">
        <v>8</v>
      </c>
      <c r="N26" s="19">
        <v>5.2</v>
      </c>
      <c r="O26" s="18" t="s">
        <v>4</v>
      </c>
      <c r="P26" s="18" t="s">
        <v>9</v>
      </c>
      <c r="Q26" s="23" t="s">
        <v>50</v>
      </c>
      <c r="R26" s="21" t="s">
        <v>51</v>
      </c>
    </row>
    <row r="27" spans="1:24" ht="28" x14ac:dyDescent="0.3">
      <c r="A27" s="3" t="s">
        <v>20</v>
      </c>
      <c r="B27" s="1" t="s">
        <v>11</v>
      </c>
      <c r="C27" s="5" t="s">
        <v>22</v>
      </c>
      <c r="D27" s="4">
        <f>K20</f>
        <v>2.7999999999999989</v>
      </c>
      <c r="E27" s="4">
        <f>K21</f>
        <v>4.4000000000000004</v>
      </c>
      <c r="F27" s="4">
        <f>K22</f>
        <v>5.8</v>
      </c>
      <c r="G27" s="4">
        <f>K23</f>
        <v>4.6999999999999993</v>
      </c>
      <c r="H27" s="4">
        <f>K24</f>
        <v>0.10000000000000142</v>
      </c>
      <c r="I27" s="12">
        <f>K25</f>
        <v>1.2000000000000002</v>
      </c>
      <c r="J27" s="13">
        <f>K26</f>
        <v>6.7</v>
      </c>
      <c r="K27" s="5" t="s">
        <v>22</v>
      </c>
      <c r="L27" s="17"/>
      <c r="M27" s="18">
        <v>9</v>
      </c>
      <c r="N27" s="19">
        <v>5</v>
      </c>
      <c r="O27" s="18" t="s">
        <v>7</v>
      </c>
      <c r="P27" s="18" t="s">
        <v>10</v>
      </c>
      <c r="Q27" s="23" t="s">
        <v>57</v>
      </c>
      <c r="R27" s="24" t="s">
        <v>52</v>
      </c>
      <c r="S27" s="16"/>
      <c r="T27" s="14"/>
      <c r="U27" s="14"/>
      <c r="V27" s="14"/>
      <c r="W27" s="14"/>
      <c r="X27" s="17"/>
    </row>
    <row r="28" spans="1:24" s="17" customFormat="1" x14ac:dyDescent="0.3">
      <c r="M28" s="18">
        <v>10</v>
      </c>
      <c r="N28" s="19">
        <v>4.7</v>
      </c>
      <c r="O28" s="18" t="s">
        <v>7</v>
      </c>
      <c r="P28" s="18" t="s">
        <v>11</v>
      </c>
      <c r="Q28" s="21"/>
      <c r="R28" s="21" t="s">
        <v>53</v>
      </c>
      <c r="S28" s="22"/>
    </row>
    <row r="29" spans="1:24" s="17" customFormat="1" x14ac:dyDescent="0.3">
      <c r="M29" s="18">
        <v>11</v>
      </c>
      <c r="N29" s="19">
        <v>4.4000000000000004</v>
      </c>
      <c r="O29" s="18" t="s">
        <v>5</v>
      </c>
      <c r="P29" s="18" t="s">
        <v>11</v>
      </c>
      <c r="Q29" s="18"/>
      <c r="R29" s="21" t="s">
        <v>54</v>
      </c>
      <c r="S29" s="22"/>
    </row>
    <row r="30" spans="1:24" s="17" customFormat="1" x14ac:dyDescent="0.3">
      <c r="M30" s="18">
        <v>12</v>
      </c>
      <c r="N30" s="19">
        <v>3.8</v>
      </c>
      <c r="O30" s="18" t="s">
        <v>5</v>
      </c>
      <c r="P30" s="18" t="s">
        <v>10</v>
      </c>
      <c r="Q30" s="18"/>
      <c r="R30" s="21" t="s">
        <v>55</v>
      </c>
      <c r="S30" s="22"/>
    </row>
    <row r="31" spans="1:24" s="17" customFormat="1" x14ac:dyDescent="0.3">
      <c r="M31" s="18">
        <v>13</v>
      </c>
      <c r="N31" s="19">
        <v>3.5</v>
      </c>
      <c r="O31" s="18" t="s">
        <v>6</v>
      </c>
      <c r="P31" s="18" t="s">
        <v>8</v>
      </c>
      <c r="Q31" s="18"/>
      <c r="R31" s="21" t="s">
        <v>46</v>
      </c>
      <c r="S31" s="22"/>
    </row>
    <row r="32" spans="1:24" s="17" customFormat="1" x14ac:dyDescent="0.3">
      <c r="M32" s="18">
        <v>14</v>
      </c>
      <c r="N32" s="19">
        <v>3.3</v>
      </c>
      <c r="O32" s="18" t="s">
        <v>4</v>
      </c>
      <c r="P32" s="18" t="s">
        <v>8</v>
      </c>
      <c r="Q32" s="18"/>
      <c r="R32" s="21" t="s">
        <v>56</v>
      </c>
      <c r="S32" s="22"/>
    </row>
    <row r="33" spans="13:19" s="17" customFormat="1" x14ac:dyDescent="0.3">
      <c r="M33" s="18">
        <v>15</v>
      </c>
      <c r="N33" s="19">
        <v>3</v>
      </c>
      <c r="O33" s="18" t="s">
        <v>7</v>
      </c>
      <c r="P33" s="18" t="s">
        <v>8</v>
      </c>
      <c r="Q33" s="18"/>
      <c r="R33" s="21" t="s">
        <v>58</v>
      </c>
      <c r="S33" s="22"/>
    </row>
    <row r="34" spans="13:19" s="17" customFormat="1" x14ac:dyDescent="0.3">
      <c r="M34" s="18">
        <v>16</v>
      </c>
      <c r="N34" s="19">
        <v>2.8</v>
      </c>
      <c r="O34" s="18" t="s">
        <v>4</v>
      </c>
      <c r="P34" s="18" t="s">
        <v>11</v>
      </c>
      <c r="Q34" s="41" t="s">
        <v>60</v>
      </c>
      <c r="R34" s="24" t="s">
        <v>61</v>
      </c>
      <c r="S34" s="22"/>
    </row>
    <row r="35" spans="13:19" s="17" customFormat="1" x14ac:dyDescent="0.3">
      <c r="M35" s="18">
        <v>17</v>
      </c>
      <c r="N35" s="19">
        <v>2.7</v>
      </c>
      <c r="O35" s="18" t="s">
        <v>6</v>
      </c>
      <c r="P35" s="18" t="s">
        <v>9</v>
      </c>
      <c r="Q35" s="18"/>
      <c r="R35" s="21"/>
      <c r="S35" s="22"/>
    </row>
    <row r="36" spans="13:19" s="17" customFormat="1" x14ac:dyDescent="0.3">
      <c r="M36" s="18">
        <v>18</v>
      </c>
      <c r="N36" s="19">
        <v>2.6</v>
      </c>
      <c r="O36" s="18" t="s">
        <v>4</v>
      </c>
      <c r="P36" s="18" t="s">
        <v>10</v>
      </c>
      <c r="Q36" s="18"/>
      <c r="R36" s="21"/>
      <c r="S36" s="22"/>
    </row>
    <row r="37" spans="13:19" s="17" customFormat="1" x14ac:dyDescent="0.3">
      <c r="M37" s="18">
        <v>19</v>
      </c>
      <c r="N37" s="19">
        <v>1.9</v>
      </c>
      <c r="O37" s="18" t="s">
        <v>7</v>
      </c>
      <c r="P37" s="18" t="s">
        <v>9</v>
      </c>
      <c r="Q37" s="18"/>
      <c r="R37" s="21"/>
      <c r="S37" s="22"/>
    </row>
    <row r="38" spans="13:19" s="17" customFormat="1" x14ac:dyDescent="0.3">
      <c r="M38" s="18">
        <v>20</v>
      </c>
      <c r="N38" s="19">
        <v>1.2</v>
      </c>
      <c r="O38" s="18" t="s">
        <v>5</v>
      </c>
      <c r="P38" s="18" t="s">
        <v>8</v>
      </c>
      <c r="Q38" s="18"/>
      <c r="R38" s="21"/>
      <c r="S38" s="22"/>
    </row>
    <row r="39" spans="13:19" s="17" customFormat="1" x14ac:dyDescent="0.3">
      <c r="M39" s="18">
        <v>21</v>
      </c>
      <c r="N39" s="19">
        <v>1.2</v>
      </c>
      <c r="O39" s="18" t="s">
        <v>9</v>
      </c>
      <c r="P39" s="18" t="s">
        <v>11</v>
      </c>
      <c r="Q39" s="18"/>
      <c r="R39" s="21"/>
      <c r="S39" s="22"/>
    </row>
    <row r="40" spans="13:19" s="17" customFormat="1" x14ac:dyDescent="0.3">
      <c r="M40" s="18">
        <v>22</v>
      </c>
      <c r="N40" s="19">
        <v>0.6</v>
      </c>
      <c r="O40" s="18" t="s">
        <v>4</v>
      </c>
      <c r="P40" s="18" t="s">
        <v>5</v>
      </c>
      <c r="Q40" s="18"/>
      <c r="R40" s="21"/>
      <c r="S40" s="22"/>
    </row>
    <row r="41" spans="13:19" s="17" customFormat="1" x14ac:dyDescent="0.3">
      <c r="M41" s="18">
        <v>23</v>
      </c>
      <c r="N41" s="19">
        <v>0.6</v>
      </c>
      <c r="O41" s="18" t="s">
        <v>8</v>
      </c>
      <c r="P41" s="18" t="s">
        <v>10</v>
      </c>
      <c r="Q41" s="18"/>
      <c r="R41" s="21"/>
      <c r="S41" s="22"/>
    </row>
    <row r="42" spans="13:19" s="17" customFormat="1" x14ac:dyDescent="0.3">
      <c r="M42" s="18">
        <v>24</v>
      </c>
      <c r="N42" s="19">
        <v>0.6</v>
      </c>
      <c r="O42" s="18" t="s">
        <v>9</v>
      </c>
      <c r="P42" s="18" t="s">
        <v>10</v>
      </c>
      <c r="Q42" s="18"/>
      <c r="R42" s="21"/>
      <c r="S42" s="22"/>
    </row>
    <row r="43" spans="13:19" s="17" customFormat="1" x14ac:dyDescent="0.3">
      <c r="M43" s="18">
        <v>25</v>
      </c>
      <c r="N43" s="19">
        <v>0.1</v>
      </c>
      <c r="O43" s="18" t="s">
        <v>5</v>
      </c>
      <c r="P43" s="18" t="s">
        <v>9</v>
      </c>
      <c r="Q43" s="18"/>
      <c r="R43" s="21"/>
      <c r="S43" s="22"/>
    </row>
    <row r="44" spans="13:19" s="17" customFormat="1" x14ac:dyDescent="0.3">
      <c r="M44" s="18">
        <v>26</v>
      </c>
      <c r="N44" s="19">
        <v>0.1</v>
      </c>
      <c r="O44" s="18" t="s">
        <v>8</v>
      </c>
      <c r="P44" s="18" t="s">
        <v>11</v>
      </c>
      <c r="Q44" s="18"/>
      <c r="R44" s="21"/>
      <c r="S44" s="22"/>
    </row>
    <row r="45" spans="13:19" s="17" customFormat="1" x14ac:dyDescent="0.3">
      <c r="M45" s="18">
        <v>27</v>
      </c>
      <c r="N45" s="19">
        <v>-0.3</v>
      </c>
      <c r="O45" s="18" t="s">
        <v>4</v>
      </c>
      <c r="P45" s="18" t="s">
        <v>6</v>
      </c>
      <c r="Q45" s="18"/>
      <c r="R45" s="21"/>
      <c r="S45" s="22"/>
    </row>
    <row r="46" spans="13:19" s="17" customFormat="1" x14ac:dyDescent="0.3">
      <c r="M46" s="18">
        <v>28</v>
      </c>
      <c r="N46" s="19">
        <v>-1</v>
      </c>
      <c r="O46" s="18" t="s">
        <v>4</v>
      </c>
      <c r="P46" s="18" t="s">
        <v>7</v>
      </c>
      <c r="Q46" s="18"/>
      <c r="R46" s="21"/>
      <c r="S46" s="22"/>
    </row>
    <row r="47" spans="13:19" s="17" customFormat="1" x14ac:dyDescent="0.3">
      <c r="Q47"/>
      <c r="R47" s="22"/>
      <c r="S47" s="22"/>
    </row>
    <row r="48" spans="13:19" s="17" customFormat="1" x14ac:dyDescent="0.3">
      <c r="M48" s="25" t="s">
        <v>34</v>
      </c>
      <c r="N48" s="22" t="s">
        <v>59</v>
      </c>
      <c r="Q48"/>
      <c r="R48" s="22"/>
      <c r="S48" s="22"/>
    </row>
    <row r="49" spans="12:30" s="17" customFormat="1" x14ac:dyDescent="0.3">
      <c r="Q49"/>
      <c r="R49" s="22"/>
      <c r="S49" s="22"/>
    </row>
    <row r="50" spans="12:30" s="17" customFormat="1" x14ac:dyDescent="0.3">
      <c r="M50" s="1" t="s">
        <v>1</v>
      </c>
      <c r="N50" s="1" t="s">
        <v>25</v>
      </c>
      <c r="O50" s="1" t="s">
        <v>28</v>
      </c>
      <c r="P50" s="26"/>
      <c r="Q50"/>
      <c r="R50"/>
      <c r="S50" s="22"/>
    </row>
    <row r="51" spans="12:30" s="17" customFormat="1" x14ac:dyDescent="0.3">
      <c r="L51"/>
      <c r="M51" s="18" t="s">
        <v>3</v>
      </c>
      <c r="N51" s="4" t="s">
        <v>5</v>
      </c>
      <c r="O51" s="4">
        <f>E6</f>
        <v>6</v>
      </c>
      <c r="P51"/>
      <c r="Q51"/>
      <c r="R51"/>
      <c r="S51" s="22"/>
    </row>
    <row r="52" spans="12:30" s="17" customFormat="1" x14ac:dyDescent="0.3">
      <c r="L52"/>
      <c r="M52" s="18" t="s">
        <v>5</v>
      </c>
      <c r="N52" s="4" t="s">
        <v>6</v>
      </c>
      <c r="O52" s="4">
        <f>F8</f>
        <v>3.7</v>
      </c>
      <c r="P52"/>
      <c r="Q52"/>
      <c r="R52"/>
      <c r="S52" s="22"/>
    </row>
    <row r="53" spans="12:30" s="17" customFormat="1" x14ac:dyDescent="0.3">
      <c r="L53"/>
      <c r="M53" s="18" t="s">
        <v>6</v>
      </c>
      <c r="N53" s="4" t="s">
        <v>7</v>
      </c>
      <c r="O53" s="4">
        <f>G9</f>
        <v>1.7</v>
      </c>
      <c r="P53"/>
      <c r="Q53"/>
      <c r="R53"/>
      <c r="S53" s="22"/>
    </row>
    <row r="54" spans="12:30" s="17" customFormat="1" x14ac:dyDescent="0.3">
      <c r="L54"/>
      <c r="M54" s="18" t="s">
        <v>7</v>
      </c>
      <c r="N54" s="4" t="s">
        <v>10</v>
      </c>
      <c r="O54" s="4">
        <f>J10</f>
        <v>4.2</v>
      </c>
      <c r="P54"/>
      <c r="Q54"/>
      <c r="R54"/>
      <c r="S54" s="22"/>
    </row>
    <row r="55" spans="12:30" s="17" customFormat="1" x14ac:dyDescent="0.3">
      <c r="L55"/>
      <c r="M55" s="18" t="s">
        <v>10</v>
      </c>
      <c r="N55" s="4" t="s">
        <v>11</v>
      </c>
      <c r="O55" s="4">
        <f>K13</f>
        <v>1.3</v>
      </c>
      <c r="P55"/>
      <c r="Q55"/>
      <c r="R55"/>
      <c r="S55" s="22"/>
    </row>
    <row r="56" spans="12:30" s="17" customFormat="1" x14ac:dyDescent="0.3">
      <c r="L56"/>
      <c r="M56" s="18" t="s">
        <v>11</v>
      </c>
      <c r="N56" s="4" t="s">
        <v>4</v>
      </c>
      <c r="O56" s="4">
        <f>D14</f>
        <v>9.3000000000000007</v>
      </c>
      <c r="P56"/>
      <c r="Q56"/>
      <c r="R56"/>
      <c r="S56" s="22"/>
      <c r="T56"/>
      <c r="U56"/>
      <c r="V56"/>
      <c r="W56"/>
    </row>
    <row r="57" spans="12:30" s="17" customFormat="1" x14ac:dyDescent="0.3">
      <c r="L57"/>
      <c r="M57" s="18" t="s">
        <v>4</v>
      </c>
      <c r="N57" s="4" t="s">
        <v>9</v>
      </c>
      <c r="O57" s="4">
        <f>I7</f>
        <v>6.7</v>
      </c>
      <c r="P57"/>
      <c r="Q57"/>
      <c r="R57"/>
      <c r="S57" s="22"/>
      <c r="T57"/>
      <c r="U57"/>
      <c r="V57"/>
      <c r="W57"/>
    </row>
    <row r="58" spans="12:30" s="17" customFormat="1" x14ac:dyDescent="0.3">
      <c r="L58"/>
      <c r="M58" s="18" t="s">
        <v>9</v>
      </c>
      <c r="N58" s="4" t="s">
        <v>8</v>
      </c>
      <c r="O58" s="4">
        <f>H12</f>
        <v>2.2999999999999998</v>
      </c>
      <c r="P58"/>
      <c r="Q58"/>
      <c r="R58"/>
      <c r="S58" s="22"/>
      <c r="T58"/>
      <c r="U58"/>
      <c r="V58"/>
      <c r="W58"/>
    </row>
    <row r="59" spans="12:30" x14ac:dyDescent="0.3">
      <c r="M59" s="18" t="s">
        <v>8</v>
      </c>
      <c r="N59" s="4" t="s">
        <v>3</v>
      </c>
      <c r="O59" s="4">
        <f>C11</f>
        <v>4.3</v>
      </c>
      <c r="S59" s="22"/>
      <c r="X59" s="17"/>
      <c r="Y59" s="17"/>
      <c r="Z59" s="17"/>
      <c r="AA59" s="17"/>
      <c r="AB59" s="17"/>
      <c r="AC59" s="17"/>
      <c r="AD59" s="17"/>
    </row>
    <row r="60" spans="12:30" x14ac:dyDescent="0.3">
      <c r="M60" s="17"/>
      <c r="N60" s="27" t="s">
        <v>29</v>
      </c>
      <c r="O60" s="28">
        <f>SUM(O51:O59)</f>
        <v>39.499999999999993</v>
      </c>
      <c r="P60" s="29" t="s">
        <v>30</v>
      </c>
      <c r="S60" s="22"/>
      <c r="X60" s="17"/>
      <c r="Y60" s="17"/>
      <c r="Z60" s="17"/>
      <c r="AA60" s="17"/>
      <c r="AB60" s="17"/>
      <c r="AC60" s="17"/>
      <c r="AD60" s="17"/>
    </row>
    <row r="61" spans="12:30" x14ac:dyDescent="0.3">
      <c r="M61" s="17"/>
      <c r="N61" s="17"/>
      <c r="O61" s="17"/>
      <c r="P61" s="17"/>
      <c r="Q61" s="17"/>
      <c r="R61" s="17"/>
      <c r="S61" s="22"/>
      <c r="X61" s="17"/>
      <c r="Y61" s="17"/>
      <c r="Z61" s="17"/>
      <c r="AA61" s="17"/>
      <c r="AB61" s="17"/>
      <c r="AC61" s="17"/>
      <c r="AD61" s="17"/>
    </row>
    <row r="62" spans="12:30" x14ac:dyDescent="0.3">
      <c r="S62" s="22"/>
      <c r="X62" s="17"/>
      <c r="Y62" s="17"/>
      <c r="Z62" s="17"/>
      <c r="AA62" s="17"/>
      <c r="AB62" s="17"/>
      <c r="AC62" s="17"/>
      <c r="AD62" s="17"/>
    </row>
    <row r="63" spans="12:30" x14ac:dyDescent="0.3">
      <c r="S63" s="22"/>
      <c r="X63" s="17"/>
      <c r="Y63" s="17"/>
      <c r="Z63" s="17"/>
      <c r="AA63" s="17"/>
      <c r="AB63" s="17"/>
      <c r="AC63" s="17"/>
      <c r="AD63" s="17"/>
    </row>
    <row r="64" spans="12:30" x14ac:dyDescent="0.3">
      <c r="S64" s="22"/>
      <c r="X64" s="17"/>
      <c r="Y64" s="17"/>
      <c r="Z64" s="17"/>
      <c r="AA64" s="17"/>
      <c r="AB64" s="17"/>
      <c r="AC64" s="17"/>
      <c r="AD64" s="17"/>
    </row>
    <row r="65" spans="19:30" x14ac:dyDescent="0.3">
      <c r="S65" s="22"/>
      <c r="X65" s="17"/>
      <c r="Y65" s="17"/>
      <c r="Z65" s="17"/>
      <c r="AA65" s="17"/>
      <c r="AB65" s="17"/>
      <c r="AC65" s="17"/>
      <c r="AD65" s="17"/>
    </row>
    <row r="66" spans="19:30" x14ac:dyDescent="0.3">
      <c r="S66" s="22"/>
      <c r="X66" s="17"/>
      <c r="Y66" s="17"/>
      <c r="Z66" s="17"/>
      <c r="AA66" s="17"/>
      <c r="AB66" s="17"/>
      <c r="AC66" s="17"/>
      <c r="AD66" s="17"/>
    </row>
    <row r="67" spans="19:30" x14ac:dyDescent="0.3">
      <c r="S67" s="22"/>
      <c r="X67" s="17"/>
      <c r="Y67" s="17"/>
      <c r="Z67" s="17"/>
      <c r="AA67" s="17"/>
      <c r="AB67" s="17"/>
      <c r="AC67" s="17"/>
      <c r="AD67" s="17"/>
    </row>
    <row r="68" spans="19:30" x14ac:dyDescent="0.3">
      <c r="S68" s="22"/>
      <c r="X68" s="17"/>
      <c r="Y68" s="17"/>
      <c r="Z68" s="17"/>
      <c r="AA68" s="17"/>
      <c r="AB68" s="17"/>
      <c r="AC68" s="17"/>
      <c r="AD68" s="17"/>
    </row>
    <row r="69" spans="19:30" x14ac:dyDescent="0.3">
      <c r="S69" s="22"/>
      <c r="X69" s="17"/>
      <c r="Y69" s="17"/>
      <c r="Z69" s="17"/>
      <c r="AA69" s="17"/>
      <c r="AB69" s="17"/>
      <c r="AC69" s="17"/>
      <c r="AD69" s="17"/>
    </row>
    <row r="70" spans="19:30" x14ac:dyDescent="0.3"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</sheetData>
  <mergeCells count="5">
    <mergeCell ref="A1:K1"/>
    <mergeCell ref="A4:B5"/>
    <mergeCell ref="C4:K4"/>
    <mergeCell ref="A17:B18"/>
    <mergeCell ref="C17:K17"/>
  </mergeCells>
  <conditionalFormatting sqref="D20:K27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headerFooter>
    <oddHeader>&amp;C&amp;"Calibri"&amp;10&amp;K000000 OFFICIAL (CLOSED) \ NON-SENSITIVE&amp;1#_x000D_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37B5-7D77-4C4F-9868-D3322E31C0E8}">
  <sheetPr>
    <tabColor rgb="FF92D050"/>
  </sheetPr>
  <dimension ref="A1:AE72"/>
  <sheetViews>
    <sheetView showGridLines="0" tabSelected="1" topLeftCell="E14" zoomScale="69" zoomScaleNormal="58" workbookViewId="0">
      <selection activeCell="M70" sqref="M70:O72"/>
    </sheetView>
  </sheetViews>
  <sheetFormatPr defaultRowHeight="14" x14ac:dyDescent="0.3"/>
  <cols>
    <col min="1" max="1" width="23.25" customWidth="1"/>
    <col min="2" max="2" width="7.25" style="14" customWidth="1"/>
    <col min="3" max="11" width="5.6640625" style="14" customWidth="1"/>
    <col min="12" max="12" width="3.83203125" customWidth="1"/>
    <col min="13" max="13" width="14.33203125" customWidth="1"/>
    <col min="14" max="14" width="11.75" customWidth="1"/>
    <col min="15" max="15" width="10.33203125" customWidth="1"/>
    <col min="16" max="16" width="7.5" customWidth="1"/>
    <col min="17" max="17" width="33.6640625" customWidth="1"/>
    <col min="18" max="18" width="26.58203125" customWidth="1"/>
    <col min="19" max="19" width="32.58203125" customWidth="1"/>
  </cols>
  <sheetData>
    <row r="1" spans="1:18" ht="35.5" customHeight="1" x14ac:dyDescent="0.3">
      <c r="A1" s="46" t="s">
        <v>39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8" ht="14.5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8" ht="17.5" x14ac:dyDescent="0.35">
      <c r="D3" s="31" t="s">
        <v>31</v>
      </c>
      <c r="N3" s="36" t="s">
        <v>38</v>
      </c>
    </row>
    <row r="4" spans="1:18" ht="14.5" thickBot="1" x14ac:dyDescent="0.35">
      <c r="A4" s="47" t="s">
        <v>1</v>
      </c>
      <c r="B4" s="47"/>
      <c r="C4" s="48" t="s">
        <v>2</v>
      </c>
      <c r="D4" s="48"/>
      <c r="E4" s="48"/>
      <c r="F4" s="48"/>
      <c r="G4" s="48"/>
      <c r="H4" s="48"/>
      <c r="I4" s="48"/>
      <c r="J4" s="48"/>
      <c r="K4" s="48"/>
    </row>
    <row r="5" spans="1:18" ht="28.5" thickBot="1" x14ac:dyDescent="0.35">
      <c r="A5" s="47"/>
      <c r="B5" s="47"/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N5" s="32" t="s">
        <v>36</v>
      </c>
      <c r="O5" s="33" t="s">
        <v>37</v>
      </c>
    </row>
    <row r="6" spans="1:18" ht="14.5" thickBot="1" x14ac:dyDescent="0.35">
      <c r="A6" s="3" t="s">
        <v>12</v>
      </c>
      <c r="B6" s="2" t="s">
        <v>3</v>
      </c>
      <c r="C6" s="4">
        <v>0</v>
      </c>
      <c r="D6" s="4">
        <v>8.1</v>
      </c>
      <c r="E6" s="4">
        <v>6</v>
      </c>
      <c r="F6" s="4">
        <v>6</v>
      </c>
      <c r="G6" s="4">
        <v>5.2</v>
      </c>
      <c r="H6" s="4">
        <v>4.3</v>
      </c>
      <c r="I6" s="4">
        <v>3.8</v>
      </c>
      <c r="J6" s="4">
        <v>4</v>
      </c>
      <c r="K6" s="4">
        <v>4</v>
      </c>
      <c r="N6" s="34" t="s">
        <v>4</v>
      </c>
      <c r="O6" s="35">
        <v>150</v>
      </c>
    </row>
    <row r="7" spans="1:18" ht="14.5" thickBot="1" x14ac:dyDescent="0.35">
      <c r="A7" s="3" t="s">
        <v>13</v>
      </c>
      <c r="B7" s="2" t="s">
        <v>4</v>
      </c>
      <c r="C7" s="4">
        <v>8.1</v>
      </c>
      <c r="D7" s="4">
        <v>0</v>
      </c>
      <c r="E7" s="4">
        <v>13.5</v>
      </c>
      <c r="F7" s="4">
        <v>14.4</v>
      </c>
      <c r="G7" s="4">
        <v>14.3</v>
      </c>
      <c r="H7" s="4">
        <v>9.1</v>
      </c>
      <c r="I7" s="4">
        <v>6.7</v>
      </c>
      <c r="J7" s="4">
        <v>9.5</v>
      </c>
      <c r="K7" s="4">
        <v>9.3000000000000007</v>
      </c>
      <c r="N7" s="34" t="s">
        <v>5</v>
      </c>
      <c r="O7" s="35">
        <v>100</v>
      </c>
    </row>
    <row r="8" spans="1:18" ht="14.5" thickBot="1" x14ac:dyDescent="0.35">
      <c r="A8" s="3" t="s">
        <v>14</v>
      </c>
      <c r="B8" s="2" t="s">
        <v>5</v>
      </c>
      <c r="C8" s="4">
        <v>6</v>
      </c>
      <c r="D8" s="4">
        <v>13.5</v>
      </c>
      <c r="E8" s="4">
        <v>0</v>
      </c>
      <c r="F8" s="4">
        <v>3.7</v>
      </c>
      <c r="G8" s="4">
        <v>3.6</v>
      </c>
      <c r="H8" s="4">
        <v>9.1</v>
      </c>
      <c r="I8" s="4">
        <v>9.6999999999999993</v>
      </c>
      <c r="J8" s="4">
        <v>6.2</v>
      </c>
      <c r="K8" s="4">
        <v>5.6</v>
      </c>
      <c r="N8" s="34" t="s">
        <v>6</v>
      </c>
      <c r="O8" s="35">
        <v>150</v>
      </c>
    </row>
    <row r="9" spans="1:18" ht="14.5" thickBot="1" x14ac:dyDescent="0.35">
      <c r="A9" s="3" t="s">
        <v>15</v>
      </c>
      <c r="B9" s="2" t="s">
        <v>6</v>
      </c>
      <c r="C9" s="4">
        <v>6</v>
      </c>
      <c r="D9" s="4">
        <v>14.4</v>
      </c>
      <c r="E9" s="4">
        <v>3.7</v>
      </c>
      <c r="F9" s="4">
        <v>0</v>
      </c>
      <c r="G9" s="4">
        <v>1.7</v>
      </c>
      <c r="H9" s="4">
        <v>6.8</v>
      </c>
      <c r="I9" s="4">
        <v>7.1</v>
      </c>
      <c r="J9" s="4">
        <v>4.4000000000000004</v>
      </c>
      <c r="K9" s="4">
        <v>4.2</v>
      </c>
      <c r="N9" s="34" t="s">
        <v>7</v>
      </c>
      <c r="O9" s="35">
        <v>200</v>
      </c>
    </row>
    <row r="10" spans="1:18" ht="14.5" thickBot="1" x14ac:dyDescent="0.35">
      <c r="A10" s="3" t="s">
        <v>16</v>
      </c>
      <c r="B10" s="2" t="s">
        <v>7</v>
      </c>
      <c r="C10" s="4">
        <v>5.2</v>
      </c>
      <c r="D10" s="4">
        <v>14.3</v>
      </c>
      <c r="E10" s="4">
        <v>3.6</v>
      </c>
      <c r="F10" s="4">
        <v>1.7</v>
      </c>
      <c r="G10" s="4">
        <v>0</v>
      </c>
      <c r="H10" s="4">
        <v>6.5</v>
      </c>
      <c r="I10" s="4">
        <v>7.1</v>
      </c>
      <c r="J10" s="4">
        <v>4.2</v>
      </c>
      <c r="K10" s="4">
        <v>4.5</v>
      </c>
      <c r="N10" s="34" t="s">
        <v>8</v>
      </c>
      <c r="O10" s="35">
        <v>80</v>
      </c>
    </row>
    <row r="11" spans="1:18" ht="14.5" thickBot="1" x14ac:dyDescent="0.35">
      <c r="A11" s="3" t="s">
        <v>17</v>
      </c>
      <c r="B11" s="2" t="s">
        <v>8</v>
      </c>
      <c r="C11" s="4">
        <v>4.3</v>
      </c>
      <c r="D11" s="4">
        <v>9.1</v>
      </c>
      <c r="E11" s="4">
        <v>9.1</v>
      </c>
      <c r="F11" s="4">
        <v>6.8</v>
      </c>
      <c r="G11" s="4">
        <v>6.5</v>
      </c>
      <c r="H11" s="4">
        <v>0</v>
      </c>
      <c r="I11" s="4">
        <v>2.2999999999999998</v>
      </c>
      <c r="J11" s="4">
        <v>7.7</v>
      </c>
      <c r="K11" s="4">
        <v>8.1999999999999993</v>
      </c>
      <c r="N11" s="34" t="s">
        <v>9</v>
      </c>
      <c r="O11" s="35">
        <v>100</v>
      </c>
    </row>
    <row r="12" spans="1:18" ht="14.5" thickBot="1" x14ac:dyDescent="0.35">
      <c r="A12" s="3" t="s">
        <v>18</v>
      </c>
      <c r="B12" s="2" t="s">
        <v>9</v>
      </c>
      <c r="C12" s="4">
        <v>3.8</v>
      </c>
      <c r="D12" s="4">
        <v>6.7</v>
      </c>
      <c r="E12" s="4">
        <v>9.6999999999999993</v>
      </c>
      <c r="F12" s="4">
        <v>7.1</v>
      </c>
      <c r="G12" s="4">
        <v>7.1</v>
      </c>
      <c r="H12" s="4">
        <v>2.2999999999999998</v>
      </c>
      <c r="I12" s="4">
        <v>0</v>
      </c>
      <c r="J12" s="4">
        <v>7.2</v>
      </c>
      <c r="K12" s="4">
        <v>6.6</v>
      </c>
      <c r="N12" s="34" t="s">
        <v>10</v>
      </c>
      <c r="O12" s="35">
        <v>180</v>
      </c>
    </row>
    <row r="13" spans="1:18" ht="14.5" thickBot="1" x14ac:dyDescent="0.35">
      <c r="A13" s="3" t="s">
        <v>19</v>
      </c>
      <c r="B13" s="2" t="s">
        <v>10</v>
      </c>
      <c r="C13" s="4">
        <v>4</v>
      </c>
      <c r="D13" s="4">
        <v>9.5</v>
      </c>
      <c r="E13" s="4">
        <v>6.2</v>
      </c>
      <c r="F13" s="4">
        <v>4.4000000000000004</v>
      </c>
      <c r="G13" s="4">
        <v>4.2</v>
      </c>
      <c r="H13" s="4">
        <v>7.7</v>
      </c>
      <c r="I13" s="4">
        <v>7.2</v>
      </c>
      <c r="J13" s="4">
        <v>0</v>
      </c>
      <c r="K13" s="4">
        <v>1.3</v>
      </c>
      <c r="N13" s="34" t="s">
        <v>11</v>
      </c>
      <c r="O13" s="35">
        <v>90</v>
      </c>
    </row>
    <row r="14" spans="1:18" x14ac:dyDescent="0.3">
      <c r="A14" s="3" t="s">
        <v>20</v>
      </c>
      <c r="B14" s="2" t="s">
        <v>11</v>
      </c>
      <c r="C14" s="4">
        <v>4</v>
      </c>
      <c r="D14" s="4">
        <v>9.3000000000000007</v>
      </c>
      <c r="E14" s="4">
        <v>5.6</v>
      </c>
      <c r="F14" s="4">
        <v>4.2</v>
      </c>
      <c r="G14" s="4">
        <v>4.5</v>
      </c>
      <c r="H14" s="4">
        <v>8.1999999999999993</v>
      </c>
      <c r="I14" s="4">
        <v>6.6</v>
      </c>
      <c r="J14" s="4">
        <v>1.3</v>
      </c>
      <c r="K14" s="4">
        <v>0</v>
      </c>
    </row>
    <row r="16" spans="1:18" ht="17.5" x14ac:dyDescent="0.3">
      <c r="D16" s="31" t="s">
        <v>32</v>
      </c>
      <c r="Q16" s="31" t="s">
        <v>33</v>
      </c>
      <c r="R16" s="31"/>
    </row>
    <row r="17" spans="1:25" x14ac:dyDescent="0.3">
      <c r="A17" s="47" t="s">
        <v>1</v>
      </c>
      <c r="B17" s="47"/>
      <c r="C17" s="48" t="s">
        <v>21</v>
      </c>
      <c r="D17" s="48"/>
      <c r="E17" s="48"/>
      <c r="F17" s="48"/>
      <c r="G17" s="48"/>
      <c r="H17" s="48"/>
      <c r="I17" s="48"/>
      <c r="J17" s="48"/>
      <c r="K17" s="48"/>
    </row>
    <row r="18" spans="1:25" x14ac:dyDescent="0.3">
      <c r="A18" s="47"/>
      <c r="B18" s="47"/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M18" s="15" t="s">
        <v>23</v>
      </c>
      <c r="N18" s="15" t="s">
        <v>24</v>
      </c>
      <c r="O18" s="15" t="s">
        <v>1</v>
      </c>
      <c r="P18" s="15" t="s">
        <v>25</v>
      </c>
      <c r="Q18" s="15" t="s">
        <v>26</v>
      </c>
      <c r="R18" s="15" t="s">
        <v>62</v>
      </c>
      <c r="S18" s="15" t="s">
        <v>27</v>
      </c>
    </row>
    <row r="19" spans="1:25" x14ac:dyDescent="0.3">
      <c r="A19" s="3" t="s">
        <v>12</v>
      </c>
      <c r="B19" s="1" t="s">
        <v>3</v>
      </c>
      <c r="C19" s="5" t="s">
        <v>22</v>
      </c>
      <c r="D19" s="5" t="s">
        <v>22</v>
      </c>
      <c r="E19" s="5" t="s">
        <v>22</v>
      </c>
      <c r="F19" s="5" t="s">
        <v>22</v>
      </c>
      <c r="G19" s="5" t="s">
        <v>22</v>
      </c>
      <c r="H19" s="5" t="s">
        <v>22</v>
      </c>
      <c r="I19" s="5" t="s">
        <v>22</v>
      </c>
      <c r="J19" s="5" t="s">
        <v>22</v>
      </c>
      <c r="K19" s="5" t="s">
        <v>22</v>
      </c>
      <c r="M19" s="18">
        <v>1</v>
      </c>
      <c r="N19" s="19">
        <v>9.5</v>
      </c>
      <c r="O19" s="18" t="s">
        <v>6</v>
      </c>
      <c r="P19" s="18" t="s">
        <v>7</v>
      </c>
      <c r="Q19" s="20" t="s">
        <v>44</v>
      </c>
      <c r="R19" s="20" t="s">
        <v>63</v>
      </c>
      <c r="S19" s="21" t="s">
        <v>64</v>
      </c>
    </row>
    <row r="20" spans="1:25" x14ac:dyDescent="0.3">
      <c r="A20" s="3" t="s">
        <v>13</v>
      </c>
      <c r="B20" s="1" t="s">
        <v>4</v>
      </c>
      <c r="C20" s="5" t="s">
        <v>22</v>
      </c>
      <c r="D20" s="5" t="s">
        <v>22</v>
      </c>
      <c r="E20" s="6">
        <v>0.59999999999999964</v>
      </c>
      <c r="F20" s="6">
        <v>-0.30000000000000071</v>
      </c>
      <c r="G20" s="6">
        <v>-1</v>
      </c>
      <c r="H20" s="6">
        <v>3.2999999999999989</v>
      </c>
      <c r="I20" s="6">
        <v>5.1999999999999984</v>
      </c>
      <c r="J20" s="6">
        <v>2.5999999999999996</v>
      </c>
      <c r="K20" s="6">
        <v>2.7999999999999989</v>
      </c>
      <c r="L20" s="17"/>
      <c r="M20" s="18">
        <v>2</v>
      </c>
      <c r="N20" s="19">
        <v>8.3000000000000007</v>
      </c>
      <c r="O20" s="18" t="s">
        <v>5</v>
      </c>
      <c r="P20" s="18" t="s">
        <v>6</v>
      </c>
      <c r="Q20" s="20" t="s">
        <v>45</v>
      </c>
      <c r="R20" s="20" t="s">
        <v>65</v>
      </c>
      <c r="S20" s="21" t="s">
        <v>66</v>
      </c>
    </row>
    <row r="21" spans="1:25" ht="28" x14ac:dyDescent="0.3">
      <c r="A21" s="3" t="s">
        <v>14</v>
      </c>
      <c r="B21" s="1" t="s">
        <v>5</v>
      </c>
      <c r="C21" s="5" t="s">
        <v>22</v>
      </c>
      <c r="D21" s="4">
        <v>0.59999999999999964</v>
      </c>
      <c r="E21" s="5" t="s">
        <v>22</v>
      </c>
      <c r="F21" s="6">
        <v>8.3000000000000007</v>
      </c>
      <c r="G21" s="6">
        <v>7.6</v>
      </c>
      <c r="H21" s="6">
        <v>1.2000000000000011</v>
      </c>
      <c r="I21" s="6">
        <v>0.10000000000000142</v>
      </c>
      <c r="J21" s="6">
        <v>3.8</v>
      </c>
      <c r="K21" s="6">
        <v>4.4000000000000004</v>
      </c>
      <c r="L21" s="17"/>
      <c r="M21" s="18">
        <v>3</v>
      </c>
      <c r="N21" s="19">
        <v>7.6</v>
      </c>
      <c r="O21" s="18" t="s">
        <v>5</v>
      </c>
      <c r="P21" s="18" t="s">
        <v>7</v>
      </c>
      <c r="Q21" s="21"/>
      <c r="R21" s="21"/>
      <c r="S21" s="24" t="s">
        <v>86</v>
      </c>
    </row>
    <row r="22" spans="1:25" ht="28" x14ac:dyDescent="0.3">
      <c r="A22" s="3" t="s">
        <v>15</v>
      </c>
      <c r="B22" s="1" t="s">
        <v>6</v>
      </c>
      <c r="C22" s="5" t="s">
        <v>22</v>
      </c>
      <c r="D22" s="4">
        <v>-0.30000000000000071</v>
      </c>
      <c r="E22" s="7">
        <v>8.3000000000000007</v>
      </c>
      <c r="F22" s="5" t="s">
        <v>22</v>
      </c>
      <c r="G22" s="6">
        <v>9.5</v>
      </c>
      <c r="H22" s="6">
        <v>3.5000000000000009</v>
      </c>
      <c r="I22" s="6">
        <v>2.7000000000000011</v>
      </c>
      <c r="J22" s="6">
        <v>5.6</v>
      </c>
      <c r="K22" s="6">
        <v>5.8</v>
      </c>
      <c r="L22" s="17"/>
      <c r="M22" s="18">
        <v>4</v>
      </c>
      <c r="N22" s="19">
        <v>6.7</v>
      </c>
      <c r="O22" s="18" t="s">
        <v>10</v>
      </c>
      <c r="P22" s="18" t="s">
        <v>11</v>
      </c>
      <c r="Q22" s="23" t="s">
        <v>47</v>
      </c>
      <c r="R22" s="23" t="s">
        <v>68</v>
      </c>
      <c r="S22" s="21" t="s">
        <v>69</v>
      </c>
    </row>
    <row r="23" spans="1:25" x14ac:dyDescent="0.3">
      <c r="A23" s="3" t="s">
        <v>16</v>
      </c>
      <c r="B23" s="1" t="s">
        <v>7</v>
      </c>
      <c r="C23" s="5" t="s">
        <v>22</v>
      </c>
      <c r="D23" s="4">
        <v>-1</v>
      </c>
      <c r="E23" s="4">
        <v>7.6</v>
      </c>
      <c r="F23" s="8">
        <v>9.5</v>
      </c>
      <c r="G23" s="5" t="s">
        <v>22</v>
      </c>
      <c r="H23" s="6">
        <v>3</v>
      </c>
      <c r="I23" s="6">
        <v>1.9000000000000004</v>
      </c>
      <c r="J23" s="6">
        <v>4.9999999999999991</v>
      </c>
      <c r="K23" s="6">
        <v>4.6999999999999993</v>
      </c>
      <c r="L23" s="17"/>
      <c r="M23" s="18">
        <v>5</v>
      </c>
      <c r="N23" s="19">
        <v>5.8</v>
      </c>
      <c r="O23" s="18" t="s">
        <v>6</v>
      </c>
      <c r="P23" s="18" t="s">
        <v>11</v>
      </c>
      <c r="Q23" s="21"/>
      <c r="R23" s="21"/>
      <c r="S23" s="21" t="s">
        <v>46</v>
      </c>
    </row>
    <row r="24" spans="1:25" ht="42" x14ac:dyDescent="0.3">
      <c r="A24" s="3" t="s">
        <v>17</v>
      </c>
      <c r="B24" s="1" t="s">
        <v>8</v>
      </c>
      <c r="C24" s="5" t="s">
        <v>22</v>
      </c>
      <c r="D24" s="4">
        <v>3.2999999999999989</v>
      </c>
      <c r="E24" s="4">
        <v>1.2000000000000011</v>
      </c>
      <c r="F24" s="4">
        <v>3.5000000000000009</v>
      </c>
      <c r="G24" s="9">
        <v>3</v>
      </c>
      <c r="H24" s="5" t="s">
        <v>22</v>
      </c>
      <c r="I24" s="6">
        <v>5.8</v>
      </c>
      <c r="J24" s="6">
        <v>0.60000000000000053</v>
      </c>
      <c r="K24" s="6">
        <v>0.10000000000000142</v>
      </c>
      <c r="L24" s="17"/>
      <c r="M24" s="18">
        <v>6</v>
      </c>
      <c r="N24" s="19">
        <v>5.8</v>
      </c>
      <c r="O24" s="18" t="s">
        <v>8</v>
      </c>
      <c r="P24" s="18" t="s">
        <v>9</v>
      </c>
      <c r="Q24" s="23" t="s">
        <v>48</v>
      </c>
      <c r="R24" s="23" t="s">
        <v>70</v>
      </c>
      <c r="S24" s="21" t="s">
        <v>71</v>
      </c>
    </row>
    <row r="25" spans="1:25" x14ac:dyDescent="0.3">
      <c r="A25" s="3" t="s">
        <v>18</v>
      </c>
      <c r="B25" s="1" t="s">
        <v>9</v>
      </c>
      <c r="C25" s="5" t="s">
        <v>22</v>
      </c>
      <c r="D25" s="4">
        <v>5.1999999999999984</v>
      </c>
      <c r="E25" s="4">
        <v>0.10000000000000142</v>
      </c>
      <c r="F25" s="4">
        <v>2.7000000000000011</v>
      </c>
      <c r="G25" s="4">
        <v>1.9000000000000004</v>
      </c>
      <c r="H25" s="10">
        <v>5.8</v>
      </c>
      <c r="I25" s="5" t="s">
        <v>22</v>
      </c>
      <c r="J25" s="6">
        <v>0.59999999999999964</v>
      </c>
      <c r="K25" s="6">
        <v>1.2000000000000002</v>
      </c>
      <c r="L25" s="17"/>
      <c r="M25" s="18">
        <v>7</v>
      </c>
      <c r="N25" s="19">
        <v>5.6</v>
      </c>
      <c r="O25" s="18" t="s">
        <v>6</v>
      </c>
      <c r="P25" s="18" t="s">
        <v>10</v>
      </c>
      <c r="Q25" s="40"/>
      <c r="R25" s="40"/>
      <c r="S25" s="21" t="s">
        <v>46</v>
      </c>
    </row>
    <row r="26" spans="1:25" ht="42" x14ac:dyDescent="0.3">
      <c r="A26" s="3" t="s">
        <v>19</v>
      </c>
      <c r="B26" s="1" t="s">
        <v>10</v>
      </c>
      <c r="C26" s="5" t="s">
        <v>22</v>
      </c>
      <c r="D26" s="6">
        <v>2.5999999999999996</v>
      </c>
      <c r="E26" s="4">
        <v>3.8</v>
      </c>
      <c r="F26" s="4">
        <v>5.6</v>
      </c>
      <c r="G26" s="4">
        <v>4.9999999999999991</v>
      </c>
      <c r="H26" s="4">
        <v>0.60000000000000053</v>
      </c>
      <c r="I26" s="11">
        <v>0.59999999999999964</v>
      </c>
      <c r="J26" s="5" t="s">
        <v>22</v>
      </c>
      <c r="K26" s="6">
        <v>6.7</v>
      </c>
      <c r="L26" s="17"/>
      <c r="M26" s="18">
        <v>8</v>
      </c>
      <c r="N26" s="19">
        <v>5.2</v>
      </c>
      <c r="O26" s="18" t="s">
        <v>4</v>
      </c>
      <c r="P26" s="18" t="s">
        <v>9</v>
      </c>
      <c r="Q26" s="23" t="s">
        <v>50</v>
      </c>
      <c r="R26" s="23" t="s">
        <v>72</v>
      </c>
      <c r="S26" s="21" t="s">
        <v>67</v>
      </c>
    </row>
    <row r="27" spans="1:25" ht="42" x14ac:dyDescent="0.3">
      <c r="A27" s="3" t="s">
        <v>20</v>
      </c>
      <c r="B27" s="1" t="s">
        <v>11</v>
      </c>
      <c r="C27" s="5" t="s">
        <v>22</v>
      </c>
      <c r="D27" s="4">
        <v>2.7999999999999989</v>
      </c>
      <c r="E27" s="4">
        <v>4.4000000000000004</v>
      </c>
      <c r="F27" s="4">
        <v>5.8</v>
      </c>
      <c r="G27" s="4">
        <v>4.6999999999999993</v>
      </c>
      <c r="H27" s="4">
        <v>0.10000000000000142</v>
      </c>
      <c r="I27" s="12">
        <v>1.2000000000000002</v>
      </c>
      <c r="J27" s="13">
        <v>6.7</v>
      </c>
      <c r="K27" s="5" t="s">
        <v>22</v>
      </c>
      <c r="L27" s="17"/>
      <c r="M27" s="18">
        <v>9</v>
      </c>
      <c r="N27" s="19">
        <v>5</v>
      </c>
      <c r="O27" s="18" t="s">
        <v>7</v>
      </c>
      <c r="P27" s="18" t="s">
        <v>10</v>
      </c>
      <c r="Q27" s="23" t="s">
        <v>77</v>
      </c>
      <c r="R27" s="23" t="s">
        <v>73</v>
      </c>
      <c r="S27" s="24" t="s">
        <v>74</v>
      </c>
      <c r="T27" s="16"/>
      <c r="U27" s="14"/>
      <c r="V27" s="14"/>
      <c r="W27" s="14"/>
      <c r="X27" s="14"/>
      <c r="Y27" s="17"/>
    </row>
    <row r="28" spans="1:25" s="17" customFormat="1" x14ac:dyDescent="0.3">
      <c r="M28" s="18">
        <v>10</v>
      </c>
      <c r="N28" s="19">
        <v>4.7</v>
      </c>
      <c r="O28" s="18" t="s">
        <v>7</v>
      </c>
      <c r="P28" s="18" t="s">
        <v>11</v>
      </c>
      <c r="Q28" s="21"/>
      <c r="R28" s="21"/>
      <c r="S28" s="21" t="s">
        <v>75</v>
      </c>
      <c r="T28" s="22"/>
    </row>
    <row r="29" spans="1:25" s="17" customFormat="1" x14ac:dyDescent="0.3">
      <c r="M29" s="18">
        <v>11</v>
      </c>
      <c r="N29" s="19">
        <v>4.4000000000000004</v>
      </c>
      <c r="O29" s="18" t="s">
        <v>5</v>
      </c>
      <c r="P29" s="18" t="s">
        <v>11</v>
      </c>
      <c r="Q29" s="18"/>
      <c r="R29" s="18"/>
      <c r="S29" s="21" t="s">
        <v>76</v>
      </c>
      <c r="T29" s="22"/>
    </row>
    <row r="30" spans="1:25" s="17" customFormat="1" ht="28" x14ac:dyDescent="0.3">
      <c r="M30" s="18">
        <v>12</v>
      </c>
      <c r="N30" s="19">
        <v>3.8</v>
      </c>
      <c r="O30" s="18" t="s">
        <v>5</v>
      </c>
      <c r="P30" s="18" t="s">
        <v>10</v>
      </c>
      <c r="Q30" s="18"/>
      <c r="R30" s="18"/>
      <c r="S30" s="24" t="s">
        <v>80</v>
      </c>
      <c r="T30" s="22"/>
    </row>
    <row r="31" spans="1:25" s="17" customFormat="1" x14ac:dyDescent="0.3">
      <c r="M31" s="18">
        <v>13</v>
      </c>
      <c r="N31" s="19">
        <v>3.5</v>
      </c>
      <c r="O31" s="18" t="s">
        <v>6</v>
      </c>
      <c r="P31" s="18" t="s">
        <v>8</v>
      </c>
      <c r="Q31" s="18"/>
      <c r="R31" s="18"/>
      <c r="S31" s="21" t="s">
        <v>46</v>
      </c>
      <c r="T31" s="22"/>
    </row>
    <row r="32" spans="1:25" s="17" customFormat="1" x14ac:dyDescent="0.3">
      <c r="M32" s="18">
        <v>14</v>
      </c>
      <c r="N32" s="19">
        <v>3.3</v>
      </c>
      <c r="O32" s="18" t="s">
        <v>4</v>
      </c>
      <c r="P32" s="18" t="s">
        <v>8</v>
      </c>
      <c r="Q32" s="18"/>
      <c r="R32" s="18"/>
      <c r="S32" s="21" t="s">
        <v>78</v>
      </c>
      <c r="T32" s="22"/>
    </row>
    <row r="33" spans="13:20" s="17" customFormat="1" x14ac:dyDescent="0.3">
      <c r="M33" s="18">
        <v>15</v>
      </c>
      <c r="N33" s="19">
        <v>3</v>
      </c>
      <c r="O33" s="18" t="s">
        <v>7</v>
      </c>
      <c r="P33" s="18" t="s">
        <v>8</v>
      </c>
      <c r="Q33" s="18"/>
      <c r="R33" s="18"/>
      <c r="S33" s="21" t="s">
        <v>58</v>
      </c>
      <c r="T33" s="22"/>
    </row>
    <row r="34" spans="13:20" s="17" customFormat="1" ht="98" customHeight="1" x14ac:dyDescent="0.3">
      <c r="M34" s="18">
        <v>16</v>
      </c>
      <c r="N34" s="19">
        <v>2.8</v>
      </c>
      <c r="O34" s="18" t="s">
        <v>4</v>
      </c>
      <c r="P34" s="18" t="s">
        <v>11</v>
      </c>
      <c r="Q34" s="45" t="s">
        <v>85</v>
      </c>
      <c r="R34" s="42" t="s">
        <v>81</v>
      </c>
      <c r="S34" s="24" t="s">
        <v>79</v>
      </c>
      <c r="T34" s="22"/>
    </row>
    <row r="35" spans="13:20" s="17" customFormat="1" x14ac:dyDescent="0.3">
      <c r="M35" s="18">
        <v>17</v>
      </c>
      <c r="N35" s="19">
        <v>2.7</v>
      </c>
      <c r="O35" s="18" t="s">
        <v>6</v>
      </c>
      <c r="P35" s="18" t="s">
        <v>9</v>
      </c>
      <c r="Q35" s="41"/>
      <c r="R35" s="18"/>
      <c r="S35" s="21"/>
      <c r="T35" s="22"/>
    </row>
    <row r="36" spans="13:20" s="17" customFormat="1" x14ac:dyDescent="0.3">
      <c r="M36" s="18">
        <v>18</v>
      </c>
      <c r="N36" s="19">
        <v>2.6</v>
      </c>
      <c r="O36" s="18" t="s">
        <v>4</v>
      </c>
      <c r="P36" s="18" t="s">
        <v>10</v>
      </c>
      <c r="Q36" s="18"/>
      <c r="R36" s="18"/>
      <c r="S36" s="21"/>
      <c r="T36" s="22"/>
    </row>
    <row r="37" spans="13:20" s="17" customFormat="1" x14ac:dyDescent="0.3">
      <c r="M37" s="18">
        <v>19</v>
      </c>
      <c r="N37" s="19">
        <v>1.9</v>
      </c>
      <c r="O37" s="18" t="s">
        <v>7</v>
      </c>
      <c r="P37" s="18" t="s">
        <v>9</v>
      </c>
      <c r="Q37" s="18"/>
      <c r="R37" s="18"/>
      <c r="S37" s="21"/>
      <c r="T37" s="22"/>
    </row>
    <row r="38" spans="13:20" s="17" customFormat="1" x14ac:dyDescent="0.3">
      <c r="M38" s="18">
        <v>20</v>
      </c>
      <c r="N38" s="19">
        <v>1.2</v>
      </c>
      <c r="O38" s="18" t="s">
        <v>5</v>
      </c>
      <c r="P38" s="18" t="s">
        <v>8</v>
      </c>
      <c r="Q38" s="18"/>
      <c r="R38" s="18"/>
      <c r="S38" s="21"/>
      <c r="T38" s="22"/>
    </row>
    <row r="39" spans="13:20" s="17" customFormat="1" x14ac:dyDescent="0.3">
      <c r="M39" s="18">
        <v>21</v>
      </c>
      <c r="N39" s="19">
        <v>1.2</v>
      </c>
      <c r="O39" s="18" t="s">
        <v>9</v>
      </c>
      <c r="P39" s="18" t="s">
        <v>11</v>
      </c>
      <c r="Q39" s="18"/>
      <c r="R39" s="18"/>
      <c r="S39" s="21"/>
      <c r="T39" s="22"/>
    </row>
    <row r="40" spans="13:20" s="17" customFormat="1" x14ac:dyDescent="0.3">
      <c r="M40" s="18">
        <v>22</v>
      </c>
      <c r="N40" s="19">
        <v>0.6</v>
      </c>
      <c r="O40" s="18" t="s">
        <v>4</v>
      </c>
      <c r="P40" s="18" t="s">
        <v>5</v>
      </c>
      <c r="Q40" s="18"/>
      <c r="R40" s="18"/>
      <c r="S40" s="21"/>
      <c r="T40" s="22"/>
    </row>
    <row r="41" spans="13:20" s="17" customFormat="1" x14ac:dyDescent="0.3">
      <c r="M41" s="18">
        <v>23</v>
      </c>
      <c r="N41" s="19">
        <v>0.6</v>
      </c>
      <c r="O41" s="18" t="s">
        <v>8</v>
      </c>
      <c r="P41" s="18" t="s">
        <v>10</v>
      </c>
      <c r="Q41" s="18"/>
      <c r="R41" s="18"/>
      <c r="S41" s="21"/>
      <c r="T41" s="22"/>
    </row>
    <row r="42" spans="13:20" s="17" customFormat="1" x14ac:dyDescent="0.3">
      <c r="M42" s="18">
        <v>24</v>
      </c>
      <c r="N42" s="19">
        <v>0.6</v>
      </c>
      <c r="O42" s="18" t="s">
        <v>9</v>
      </c>
      <c r="P42" s="18" t="s">
        <v>10</v>
      </c>
      <c r="Q42" s="18"/>
      <c r="R42" s="18"/>
      <c r="S42" s="21"/>
      <c r="T42" s="22"/>
    </row>
    <row r="43" spans="13:20" s="17" customFormat="1" x14ac:dyDescent="0.3">
      <c r="M43" s="18">
        <v>25</v>
      </c>
      <c r="N43" s="19">
        <v>0.1</v>
      </c>
      <c r="O43" s="18" t="s">
        <v>5</v>
      </c>
      <c r="P43" s="18" t="s">
        <v>9</v>
      </c>
      <c r="Q43" s="18"/>
      <c r="R43" s="18"/>
      <c r="S43" s="21"/>
      <c r="T43" s="22"/>
    </row>
    <row r="44" spans="13:20" s="17" customFormat="1" x14ac:dyDescent="0.3">
      <c r="M44" s="18">
        <v>26</v>
      </c>
      <c r="N44" s="19">
        <v>0.1</v>
      </c>
      <c r="O44" s="18" t="s">
        <v>8</v>
      </c>
      <c r="P44" s="18" t="s">
        <v>11</v>
      </c>
      <c r="Q44" s="18"/>
      <c r="R44" s="18"/>
      <c r="S44" s="21"/>
      <c r="T44" s="22"/>
    </row>
    <row r="45" spans="13:20" s="17" customFormat="1" x14ac:dyDescent="0.3">
      <c r="M45" s="18">
        <v>27</v>
      </c>
      <c r="N45" s="19">
        <v>-0.3</v>
      </c>
      <c r="O45" s="18" t="s">
        <v>4</v>
      </c>
      <c r="P45" s="18" t="s">
        <v>6</v>
      </c>
      <c r="Q45" s="18"/>
      <c r="R45" s="18"/>
      <c r="S45" s="21"/>
      <c r="T45" s="22"/>
    </row>
    <row r="46" spans="13:20" s="17" customFormat="1" x14ac:dyDescent="0.3">
      <c r="M46" s="18">
        <v>28</v>
      </c>
      <c r="N46" s="19">
        <v>-1</v>
      </c>
      <c r="O46" s="18" t="s">
        <v>4</v>
      </c>
      <c r="P46" s="18" t="s">
        <v>7</v>
      </c>
      <c r="Q46" s="18"/>
      <c r="R46" s="18"/>
      <c r="S46" s="21"/>
      <c r="T46" s="22"/>
    </row>
    <row r="47" spans="13:20" s="17" customFormat="1" ht="26.5" customHeight="1" x14ac:dyDescent="0.3">
      <c r="M47" s="49" t="s">
        <v>89</v>
      </c>
      <c r="N47" s="50"/>
      <c r="O47" s="50"/>
      <c r="P47" s="50"/>
      <c r="Q47" s="50"/>
      <c r="R47" s="50"/>
      <c r="S47" s="50"/>
      <c r="T47" s="22"/>
    </row>
    <row r="48" spans="13:20" s="17" customFormat="1" ht="26.5" customHeight="1" x14ac:dyDescent="0.3">
      <c r="Q48"/>
      <c r="R48"/>
      <c r="S48" s="22"/>
      <c r="T48" s="22"/>
    </row>
    <row r="49" spans="12:31" s="17" customFormat="1" x14ac:dyDescent="0.3">
      <c r="M49" s="25" t="s">
        <v>34</v>
      </c>
      <c r="Q49"/>
      <c r="R49"/>
      <c r="S49" s="22"/>
      <c r="T49" s="22"/>
    </row>
    <row r="50" spans="12:31" s="17" customFormat="1" x14ac:dyDescent="0.3">
      <c r="M50" s="25" t="s">
        <v>88</v>
      </c>
      <c r="Q50"/>
      <c r="R50"/>
      <c r="S50" s="22"/>
      <c r="T50" s="22"/>
    </row>
    <row r="51" spans="12:31" s="17" customFormat="1" x14ac:dyDescent="0.3">
      <c r="Q51"/>
      <c r="R51"/>
      <c r="S51" s="22"/>
      <c r="T51" s="22"/>
    </row>
    <row r="52" spans="12:31" s="17" customFormat="1" x14ac:dyDescent="0.3">
      <c r="M52" s="39" t="s">
        <v>82</v>
      </c>
      <c r="Q52"/>
      <c r="R52"/>
      <c r="S52" s="22"/>
      <c r="T52" s="22"/>
    </row>
    <row r="53" spans="12:31" s="17" customFormat="1" x14ac:dyDescent="0.3">
      <c r="M53" s="1" t="s">
        <v>1</v>
      </c>
      <c r="N53" s="1" t="s">
        <v>25</v>
      </c>
      <c r="O53" s="1" t="s">
        <v>28</v>
      </c>
      <c r="P53" s="26"/>
      <c r="Q53" s="43"/>
      <c r="R53" s="43"/>
      <c r="S53" s="43"/>
      <c r="T53" s="22"/>
    </row>
    <row r="54" spans="12:31" s="17" customFormat="1" x14ac:dyDescent="0.3">
      <c r="L54"/>
      <c r="M54" s="18" t="s">
        <v>3</v>
      </c>
      <c r="N54" s="4" t="s">
        <v>5</v>
      </c>
      <c r="O54" s="4">
        <v>6</v>
      </c>
      <c r="P54"/>
      <c r="Q54"/>
      <c r="R54" s="22"/>
      <c r="S54" s="22"/>
      <c r="T54" s="22"/>
    </row>
    <row r="55" spans="12:31" s="17" customFormat="1" x14ac:dyDescent="0.3">
      <c r="L55"/>
      <c r="M55" s="18" t="s">
        <v>5</v>
      </c>
      <c r="N55" s="4" t="s">
        <v>6</v>
      </c>
      <c r="O55" s="4">
        <v>3.7</v>
      </c>
      <c r="P55"/>
      <c r="Q55"/>
      <c r="R55" s="22"/>
      <c r="S55" s="22"/>
      <c r="T55" s="22"/>
    </row>
    <row r="56" spans="12:31" s="17" customFormat="1" x14ac:dyDescent="0.3">
      <c r="L56"/>
      <c r="M56" s="18" t="s">
        <v>6</v>
      </c>
      <c r="N56" s="4" t="s">
        <v>7</v>
      </c>
      <c r="O56" s="4">
        <v>1.7</v>
      </c>
      <c r="P56"/>
      <c r="Q56"/>
      <c r="R56"/>
      <c r="S56"/>
      <c r="T56" s="22"/>
    </row>
    <row r="57" spans="12:31" s="17" customFormat="1" x14ac:dyDescent="0.3">
      <c r="L57"/>
      <c r="M57" s="18" t="s">
        <v>7</v>
      </c>
      <c r="N57" s="4" t="s">
        <v>3</v>
      </c>
      <c r="O57" s="4">
        <v>5.2</v>
      </c>
      <c r="P57"/>
      <c r="Q57"/>
      <c r="R57"/>
      <c r="S57"/>
      <c r="T57" s="22"/>
    </row>
    <row r="58" spans="12:31" x14ac:dyDescent="0.3">
      <c r="M58" s="17"/>
      <c r="N58" s="27" t="s">
        <v>29</v>
      </c>
      <c r="O58" s="28">
        <f>SUM(O54:O57)</f>
        <v>16.599999999999998</v>
      </c>
      <c r="P58" s="29" t="s">
        <v>30</v>
      </c>
      <c r="T58" s="22"/>
      <c r="Y58" s="17"/>
      <c r="Z58" s="17"/>
      <c r="AA58" s="17"/>
      <c r="AB58" s="17"/>
      <c r="AC58" s="17"/>
      <c r="AD58" s="17"/>
      <c r="AE58" s="17"/>
    </row>
    <row r="59" spans="12:31" x14ac:dyDescent="0.3">
      <c r="M59" s="17"/>
      <c r="N59" s="17"/>
      <c r="O59" s="17"/>
      <c r="P59" s="17"/>
      <c r="Q59" s="17"/>
      <c r="R59" s="17"/>
      <c r="S59" s="17"/>
      <c r="T59" s="22"/>
      <c r="Y59" s="17"/>
      <c r="Z59" s="17"/>
      <c r="AA59" s="17"/>
      <c r="AB59" s="17"/>
      <c r="AC59" s="17"/>
      <c r="AD59" s="17"/>
      <c r="AE59" s="17"/>
    </row>
    <row r="60" spans="12:31" x14ac:dyDescent="0.3">
      <c r="M60" s="39" t="s">
        <v>83</v>
      </c>
      <c r="N60" s="17"/>
      <c r="O60" s="17"/>
      <c r="P60" s="17"/>
      <c r="T60" s="22"/>
      <c r="Y60" s="17"/>
      <c r="Z60" s="17"/>
      <c r="AA60" s="17"/>
      <c r="AB60" s="17"/>
      <c r="AC60" s="17"/>
      <c r="AD60" s="17"/>
      <c r="AE60" s="17"/>
    </row>
    <row r="61" spans="12:31" x14ac:dyDescent="0.3">
      <c r="M61" s="1" t="s">
        <v>1</v>
      </c>
      <c r="N61" s="1" t="s">
        <v>25</v>
      </c>
      <c r="O61" s="1" t="s">
        <v>28</v>
      </c>
      <c r="P61" s="26"/>
      <c r="T61" s="22"/>
      <c r="Y61" s="17"/>
      <c r="Z61" s="17"/>
      <c r="AA61" s="17"/>
      <c r="AB61" s="17"/>
      <c r="AC61" s="17"/>
      <c r="AD61" s="17"/>
      <c r="AE61" s="17"/>
    </row>
    <row r="62" spans="12:31" x14ac:dyDescent="0.3">
      <c r="M62" s="18" t="s">
        <v>3</v>
      </c>
      <c r="N62" s="4" t="s">
        <v>10</v>
      </c>
      <c r="O62" s="4">
        <v>4</v>
      </c>
      <c r="T62" s="22"/>
      <c r="Y62" s="17"/>
      <c r="Z62" s="17"/>
      <c r="AA62" s="17"/>
      <c r="AB62" s="17"/>
      <c r="AC62" s="17"/>
      <c r="AD62" s="17"/>
      <c r="AE62" s="17"/>
    </row>
    <row r="63" spans="12:31" x14ac:dyDescent="0.3">
      <c r="M63" s="18" t="s">
        <v>10</v>
      </c>
      <c r="N63" s="4" t="s">
        <v>11</v>
      </c>
      <c r="O63" s="4">
        <v>1.3</v>
      </c>
      <c r="T63" s="22"/>
      <c r="Y63" s="17"/>
      <c r="Z63" s="17"/>
      <c r="AA63" s="17"/>
      <c r="AB63" s="17"/>
      <c r="AC63" s="17"/>
      <c r="AD63" s="17"/>
      <c r="AE63" s="17"/>
    </row>
    <row r="64" spans="12:31" x14ac:dyDescent="0.3">
      <c r="M64" s="18" t="s">
        <v>11</v>
      </c>
      <c r="N64" s="4" t="s">
        <v>4</v>
      </c>
      <c r="O64" s="4">
        <v>9.3000000000000007</v>
      </c>
      <c r="T64" s="22"/>
      <c r="Y64" s="17"/>
      <c r="Z64" s="17"/>
      <c r="AA64" s="17"/>
      <c r="AB64" s="17"/>
      <c r="AC64" s="17"/>
      <c r="AD64" s="17"/>
      <c r="AE64" s="17"/>
    </row>
    <row r="65" spans="13:31" x14ac:dyDescent="0.3">
      <c r="M65" s="18" t="s">
        <v>4</v>
      </c>
      <c r="N65" s="4" t="s">
        <v>9</v>
      </c>
      <c r="O65" s="4">
        <v>6.7</v>
      </c>
      <c r="T65" s="22"/>
      <c r="Y65" s="17"/>
      <c r="Z65" s="17"/>
      <c r="AA65" s="17"/>
      <c r="AB65" s="17"/>
      <c r="AC65" s="17"/>
      <c r="AD65" s="17"/>
      <c r="AE65" s="17"/>
    </row>
    <row r="66" spans="13:31" x14ac:dyDescent="0.3">
      <c r="M66" s="18" t="s">
        <v>9</v>
      </c>
      <c r="N66" s="4" t="s">
        <v>8</v>
      </c>
      <c r="O66" s="4">
        <v>2.2999999999999998</v>
      </c>
      <c r="T66" s="22"/>
      <c r="Y66" s="17"/>
      <c r="Z66" s="17"/>
      <c r="AA66" s="17"/>
      <c r="AB66" s="17"/>
      <c r="AC66" s="17"/>
      <c r="AD66" s="17"/>
      <c r="AE66" s="17"/>
    </row>
    <row r="67" spans="13:31" x14ac:dyDescent="0.3">
      <c r="M67" s="18" t="s">
        <v>8</v>
      </c>
      <c r="N67" s="4" t="s">
        <v>3</v>
      </c>
      <c r="O67" s="4">
        <v>4.3</v>
      </c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 spans="13:31" x14ac:dyDescent="0.3">
      <c r="M68" s="17"/>
      <c r="N68" s="27" t="s">
        <v>29</v>
      </c>
      <c r="O68" s="28">
        <f>SUM(O62:O67)</f>
        <v>27.900000000000002</v>
      </c>
      <c r="P68" s="29" t="s">
        <v>30</v>
      </c>
    </row>
    <row r="70" spans="13:31" ht="42" x14ac:dyDescent="0.3">
      <c r="M70" s="1" t="s">
        <v>84</v>
      </c>
      <c r="N70" s="44" t="s">
        <v>87</v>
      </c>
      <c r="O70" s="1" t="s">
        <v>28</v>
      </c>
    </row>
    <row r="71" spans="13:31" x14ac:dyDescent="0.3">
      <c r="M71" s="18" t="s">
        <v>41</v>
      </c>
      <c r="N71" s="18">
        <v>450</v>
      </c>
      <c r="O71" s="18">
        <v>16.600000000000001</v>
      </c>
    </row>
    <row r="72" spans="13:31" x14ac:dyDescent="0.3">
      <c r="M72" s="18" t="s">
        <v>90</v>
      </c>
      <c r="N72" s="18">
        <v>600</v>
      </c>
      <c r="O72" s="18">
        <v>27.9</v>
      </c>
    </row>
  </sheetData>
  <mergeCells count="6">
    <mergeCell ref="M47:S47"/>
    <mergeCell ref="A1:K1"/>
    <mergeCell ref="A4:B5"/>
    <mergeCell ref="C4:K4"/>
    <mergeCell ref="A17:B18"/>
    <mergeCell ref="C17:K17"/>
  </mergeCells>
  <conditionalFormatting sqref="D20:K27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headerFooter>
    <oddHeader>&amp;C&amp;"Calibri"&amp;10&amp;K000000 OFFICIAL (CLOSED) \ NON-SENSITIVE&amp;1#_x000D_</oddHeader>
  </headerFooter>
  <drawing r:id="rId2"/>
</worksheet>
</file>

<file path=docMetadata/LabelInfo.xml><?xml version="1.0" encoding="utf-8"?>
<clbl:labelList xmlns:clbl="http://schemas.microsoft.com/office/2020/mipLabelMetadata">
  <clbl:label id="{b70f6a2e-9a0b-44bc-9fcb-55781401e2f0}" enabled="1" method="Privileged" siteId="{f688b0d0-79f0-40a4-8644-35fcdee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NN</vt:lpstr>
      <vt:lpstr>CWS</vt:lpstr>
      <vt:lpstr>CWS VehCap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Howe Chiat (RP)</dc:creator>
  <cp:lastModifiedBy>KOH WEI XUAN CELEST</cp:lastModifiedBy>
  <dcterms:created xsi:type="dcterms:W3CDTF">2022-12-07T03:00:50Z</dcterms:created>
  <dcterms:modified xsi:type="dcterms:W3CDTF">2026-01-31T15:19:41Z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d582457d-4c24-4f0d-854c-1c524fa52647</vt:lpwstr>
  </property>
</Properties>
</file>