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256" documentId="13_ncr:1_{0A52D763-E738-4788-BA05-9CBDE52CEE56}" xr6:coauthVersionLast="47" xr6:coauthVersionMax="47" xr10:uidLastSave="{D79065EC-609D-415D-82DE-A895A5C682AB}"/>
  <bookViews>
    <workbookView minimized="1" xWindow="360" yWindow="360" windowWidth="19180" windowHeight="10060" activeTab="1" xr2:uid="{00000000-000D-0000-FFFF-FFFF00000000}"/>
  </bookViews>
  <sheets>
    <sheet name="Decomposition" sheetId="3" r:id="rId1"/>
    <sheet name="Solutio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4" l="1"/>
  <c r="E75" i="4"/>
  <c r="E76" i="4"/>
  <c r="E73" i="4"/>
  <c r="D76" i="4"/>
  <c r="D75" i="4"/>
  <c r="D74" i="4"/>
  <c r="D73" i="4"/>
  <c r="C74" i="4"/>
  <c r="C75" i="4"/>
  <c r="C76" i="4"/>
  <c r="C73" i="4"/>
  <c r="N19" i="4"/>
  <c r="O19" i="4"/>
  <c r="H9" i="4" l="1"/>
  <c r="H13" i="4"/>
  <c r="H17" i="4"/>
  <c r="F8" i="4"/>
  <c r="C26" i="4" s="1"/>
  <c r="E6" i="4"/>
  <c r="F6" i="4" s="1"/>
  <c r="E25" i="4" s="1"/>
  <c r="E7" i="4"/>
  <c r="F7" i="4" s="1"/>
  <c r="B26" i="4" s="1"/>
  <c r="E8" i="4"/>
  <c r="E9" i="4"/>
  <c r="F9" i="4" s="1"/>
  <c r="D26" i="4" s="1"/>
  <c r="E10" i="4"/>
  <c r="F10" i="4" s="1"/>
  <c r="E26" i="4" s="1"/>
  <c r="E11" i="4"/>
  <c r="F11" i="4" s="1"/>
  <c r="B27" i="4" s="1"/>
  <c r="E12" i="4"/>
  <c r="F12" i="4" s="1"/>
  <c r="C27" i="4" s="1"/>
  <c r="E13" i="4"/>
  <c r="F13" i="4" s="1"/>
  <c r="D27" i="4" s="1"/>
  <c r="D6" i="4"/>
  <c r="D7" i="4"/>
  <c r="D8" i="4"/>
  <c r="D9" i="4"/>
  <c r="D10" i="4"/>
  <c r="D11" i="4"/>
  <c r="D12" i="4"/>
  <c r="D13" i="4"/>
  <c r="E14" i="4" s="1"/>
  <c r="F14" i="4" s="1"/>
  <c r="E27" i="4" s="1"/>
  <c r="D14" i="4"/>
  <c r="E15" i="4" s="1"/>
  <c r="F15" i="4" s="1"/>
  <c r="B28" i="4" s="1"/>
  <c r="D15" i="4"/>
  <c r="E16" i="4" s="1"/>
  <c r="F16" i="4" s="1"/>
  <c r="C28" i="4" s="1"/>
  <c r="D16" i="4"/>
  <c r="D5" i="4"/>
  <c r="D4" i="4"/>
  <c r="E5" i="4" s="1"/>
  <c r="F5" i="4" s="1"/>
  <c r="D25" i="4" s="1"/>
  <c r="B29" i="4" l="1"/>
  <c r="E29" i="4"/>
  <c r="C29" i="4"/>
  <c r="D29" i="4"/>
  <c r="G29" i="4" l="1"/>
  <c r="D30" i="4" s="1"/>
  <c r="G5" i="4" s="1"/>
  <c r="H5" i="4" l="1"/>
  <c r="B30" i="4"/>
  <c r="E30" i="4"/>
  <c r="C30" i="4"/>
  <c r="G18" i="4" l="1"/>
  <c r="G14" i="4"/>
  <c r="G10" i="4"/>
  <c r="G6" i="4"/>
  <c r="G8" i="4"/>
  <c r="G16" i="4"/>
  <c r="G4" i="4"/>
  <c r="G12" i="4"/>
  <c r="G15" i="4"/>
  <c r="G7" i="4"/>
  <c r="G11" i="4"/>
  <c r="G3" i="4"/>
  <c r="H7" i="4" l="1"/>
  <c r="H12" i="4"/>
  <c r="H16" i="4"/>
  <c r="H6" i="4"/>
  <c r="H14" i="4"/>
  <c r="H3" i="4"/>
  <c r="H11" i="4"/>
  <c r="H15" i="4"/>
  <c r="H4" i="4"/>
  <c r="H8" i="4"/>
  <c r="H10" i="4"/>
  <c r="H18" i="4"/>
  <c r="H20" i="4" l="1"/>
  <c r="H19" i="4"/>
  <c r="I4" i="4" l="1"/>
  <c r="J4" i="4" s="1"/>
  <c r="I16" i="4"/>
  <c r="J16" i="4" s="1"/>
  <c r="I5" i="4"/>
  <c r="J5" i="4" s="1"/>
  <c r="I17" i="4"/>
  <c r="J17" i="4" s="1"/>
  <c r="I6" i="4"/>
  <c r="J6" i="4" s="1"/>
  <c r="I18" i="4"/>
  <c r="J18" i="4" s="1"/>
  <c r="I7" i="4"/>
  <c r="J7" i="4" s="1"/>
  <c r="I3" i="4"/>
  <c r="J3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M11" i="4" l="1"/>
  <c r="K11" i="4"/>
  <c r="L11" i="4" s="1"/>
  <c r="M10" i="4"/>
  <c r="K10" i="4"/>
  <c r="L10" i="4" s="1"/>
  <c r="K9" i="4"/>
  <c r="L9" i="4" s="1"/>
  <c r="M9" i="4"/>
  <c r="K8" i="4"/>
  <c r="L8" i="4" s="1"/>
  <c r="M8" i="4"/>
  <c r="K3" i="4"/>
  <c r="M3" i="4"/>
  <c r="K7" i="4"/>
  <c r="L7" i="4" s="1"/>
  <c r="M7" i="4"/>
  <c r="K18" i="4"/>
  <c r="L18" i="4" s="1"/>
  <c r="M18" i="4"/>
  <c r="K6" i="4"/>
  <c r="L6" i="4" s="1"/>
  <c r="M6" i="4"/>
  <c r="K15" i="4"/>
  <c r="L15" i="4" s="1"/>
  <c r="M15" i="4"/>
  <c r="K17" i="4"/>
  <c r="L17" i="4" s="1"/>
  <c r="M17" i="4"/>
  <c r="K14" i="4"/>
  <c r="L14" i="4" s="1"/>
  <c r="M14" i="4"/>
  <c r="K5" i="4"/>
  <c r="L5" i="4" s="1"/>
  <c r="M5" i="4"/>
  <c r="K13" i="4"/>
  <c r="L13" i="4" s="1"/>
  <c r="M13" i="4"/>
  <c r="K16" i="4"/>
  <c r="L16" i="4" s="1"/>
  <c r="M16" i="4"/>
  <c r="K12" i="4"/>
  <c r="L12" i="4" s="1"/>
  <c r="M12" i="4"/>
  <c r="K4" i="4"/>
  <c r="L4" i="4" s="1"/>
  <c r="M4" i="4"/>
  <c r="N5" i="4" l="1"/>
  <c r="O5" i="4"/>
  <c r="N6" i="4"/>
  <c r="O7" i="4"/>
  <c r="N8" i="4"/>
  <c r="N15" i="4"/>
  <c r="O15" i="4" s="1"/>
  <c r="O14" i="4"/>
  <c r="M19" i="4"/>
  <c r="N4" i="4"/>
  <c r="O8" i="4"/>
  <c r="N9" i="4"/>
  <c r="L3" i="4"/>
  <c r="L19" i="4" s="1"/>
  <c r="K19" i="4"/>
  <c r="N13" i="4"/>
  <c r="N16" i="4"/>
  <c r="O9" i="4"/>
  <c r="N10" i="4"/>
  <c r="O10" i="4" s="1"/>
  <c r="O16" i="4"/>
  <c r="N17" i="4"/>
  <c r="O17" i="4" s="1"/>
  <c r="O6" i="4"/>
  <c r="N7" i="4"/>
  <c r="N11" i="4"/>
  <c r="N14" i="4"/>
  <c r="O13" i="4"/>
  <c r="O11" i="4"/>
  <c r="N12" i="4"/>
  <c r="O12" i="4" s="1"/>
  <c r="O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" authorId="0" shapeId="0" xr:uid="{B563AFC6-9D4E-441E-B696-2EF581DF4957}">
      <text>
        <r>
          <rPr>
            <b/>
            <sz val="9"/>
            <color indexed="81"/>
            <rFont val="Tahoma"/>
            <family val="2"/>
          </rPr>
          <t>CL*IR =
Y/ (seasonalized forecast)</t>
        </r>
      </text>
    </comment>
  </commentList>
</comments>
</file>

<file path=xl/sharedStrings.xml><?xml version="1.0" encoding="utf-8"?>
<sst xmlns="http://schemas.openxmlformats.org/spreadsheetml/2006/main" count="87" uniqueCount="70">
  <si>
    <t>Q1-19</t>
  </si>
  <si>
    <t>Q2-19</t>
  </si>
  <si>
    <t>Q3-19</t>
  </si>
  <si>
    <t>Q4-19</t>
  </si>
  <si>
    <t>Q1-20</t>
  </si>
  <si>
    <t>Q2-20</t>
  </si>
  <si>
    <t>Q3-20</t>
  </si>
  <si>
    <t>Q4-20</t>
  </si>
  <si>
    <t>Quarter</t>
  </si>
  <si>
    <t>Input Data</t>
  </si>
  <si>
    <t>Seasonal Ratios</t>
  </si>
  <si>
    <t>Average</t>
  </si>
  <si>
    <t>Normalized Average</t>
  </si>
  <si>
    <t>Time Period (X)</t>
  </si>
  <si>
    <t xml:space="preserve">Percent Absolute Deviation, % AD </t>
  </si>
  <si>
    <t>Seasonal Index Computation</t>
  </si>
  <si>
    <t>Forecast &amp; Error analysis</t>
  </si>
  <si>
    <t>Intercept</t>
  </si>
  <si>
    <t>Slope</t>
  </si>
  <si>
    <t>Equation Y(X)</t>
  </si>
  <si>
    <t>Repetitive Cycle</t>
  </si>
  <si>
    <t>4 seasons (4 quarters in a repetitive cycle)</t>
  </si>
  <si>
    <t>Season 1 (Q1)</t>
  </si>
  <si>
    <t>Season 2 (Q2)</t>
  </si>
  <si>
    <t>Season 3 (Q3)</t>
  </si>
  <si>
    <t>Season 4 (Q4)</t>
  </si>
  <si>
    <t>Further decomposition for Cyclicity and Irregular Variations</t>
  </si>
  <si>
    <t>MAD</t>
  </si>
  <si>
    <t>MAPE</t>
  </si>
  <si>
    <t>Moving Average
(e.g. 4 quarters)</t>
  </si>
  <si>
    <t>Time Period</t>
  </si>
  <si>
    <t>Forecast for the next 4 quarters</t>
  </si>
  <si>
    <t>Seasonalized Forecast (Next 4 Quarters)</t>
  </si>
  <si>
    <t>Sales (No. of Units) 
(Y)</t>
  </si>
  <si>
    <t xml:space="preserve">Centred Moving Average 
(=(MAi-1 + MAi)/2)
</t>
  </si>
  <si>
    <t>Seasonal Ratio (=Yi/CMAi)</t>
  </si>
  <si>
    <t>Seasonal Index 
(= normalized average of seasonal ratio)</t>
  </si>
  <si>
    <t>Deseasonalized value 
(= Yi / Seasonal Indexi)</t>
  </si>
  <si>
    <t xml:space="preserve">Deseasonalized forecast
(=slope*Xi + intercept) 
</t>
  </si>
  <si>
    <t>Seasonalized forecast
(= Seasonal Indexi *Deseasonalized forecasti)</t>
  </si>
  <si>
    <t>Absolute Deviation, AD
(= |Yi - Seasonalized forecasti|)</t>
  </si>
  <si>
    <t>Cyclicity*Irregular (=Yi/Seasonalized forecasti)</t>
  </si>
  <si>
    <t>Irregular Variations (=Cyclicity*Irregulari/Cyclicityi)</t>
  </si>
  <si>
    <t>Cyclicity (3-period MA)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</si>
  <si>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</si>
  <si>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</si>
  <si>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</si>
  <si>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</si>
  <si>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</si>
  <si>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</si>
  <si>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</si>
  <si>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</si>
  <si>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Period</t>
  </si>
  <si>
    <t>Sales (No. of Units)</t>
  </si>
  <si>
    <t>Q1-19 to Q4-19</t>
  </si>
  <si>
    <t>Q1-20 to Q4-20</t>
  </si>
  <si>
    <t>Q1-21 to Q4-21</t>
  </si>
  <si>
    <t>Q1-22 to Q4-22</t>
  </si>
  <si>
    <t>Sum (Average SR)</t>
  </si>
  <si>
    <t>Formula (Normalized Average)</t>
  </si>
  <si>
    <t>* Average Seasonal Ratio</t>
  </si>
  <si>
    <t>Y = 9.273X + 568.499</t>
  </si>
  <si>
    <t>y = Deseasonalized value (dependent variable)
x = time period (independent variable)</t>
  </si>
  <si>
    <t>After removing the seasonal effect, the data exhibits an observable linear trend with random variations.</t>
  </si>
  <si>
    <t>Q1-23</t>
  </si>
  <si>
    <t>Q2-23</t>
  </si>
  <si>
    <t>Q3-23</t>
  </si>
  <si>
    <t>Q4-23</t>
  </si>
  <si>
    <r>
      <t xml:space="preserve">Seasonal Index
</t>
    </r>
    <r>
      <rPr>
        <b/>
        <sz val="11"/>
        <color theme="1"/>
        <rFont val="Calibri"/>
        <family val="2"/>
        <scheme val="minor"/>
      </rPr>
      <t>(Normalized Avg)</t>
    </r>
  </si>
  <si>
    <t>Deseasonalized Forecast
(LR)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</si>
</sst>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0.000"/>
    <numFmt numFmtId="166" formatCode="0.000%"/>
    <numFmt numFmtId="167" formatCode="0.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rgb="FF0000FF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center" wrapText="1"/>
    </xf>
    <xf numFmtId="164" fontId="0" fillId="0" borderId="0" xfId="0" applyNumberFormat="1"/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4" borderId="1" xfId="0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66" fontId="4" fillId="6" borderId="1" xfId="1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6" fontId="1" fillId="3" borderId="1" xfId="1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9" fillId="7" borderId="1" xfId="0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12" fillId="10" borderId="1" xfId="0" applyNumberFormat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 vertical="center"/>
    </xf>
    <xf numFmtId="167" fontId="0" fillId="0" borderId="0" xfId="0" applyNumberFormat="1"/>
    <xf numFmtId="0" fontId="1" fillId="0" borderId="0" xfId="0" applyFont="1"/>
    <xf numFmtId="165" fontId="7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6" fontId="9" fillId="6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10" fillId="9" borderId="4" xfId="0" applyFont="1" applyFill="1" applyBorder="1" applyAlignment="1">
      <alignment horizontal="center" wrapText="1"/>
    </xf>
    <xf numFmtId="0" fontId="10" fillId="9" borderId="5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98212CA-EFB8-4397-B37D-334198BB623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Multiplicative Decomposition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73313289999711E-2"/>
          <c:y val="0.14795781201244054"/>
          <c:w val="0.90317683327614606"/>
          <c:h val="0.678257205185646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B-414B-8142-7E81B0098DB7}"/>
            </c:ext>
          </c:extLst>
        </c:ser>
        <c:ser>
          <c:idx val="1"/>
          <c:order val="1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B-414B-8142-7E81B0098DB7}"/>
            </c:ext>
          </c:extLst>
        </c:ser>
        <c:ser>
          <c:idx val="2"/>
          <c:order val="2"/>
          <c:tx>
            <c:strRef>
              <c:f>Solutions!$J$2</c:f>
              <c:strCache>
                <c:ptCount val="1"/>
                <c:pt idx="0">
                  <c:v>Seasonalized forecast
(= Seasonal Indexi *Deseasonalized forecasti)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Solutions!$J$3:$J$18</c:f>
              <c:numCache>
                <c:formatCode>0.000</c:formatCode>
                <c:ptCount val="16"/>
                <c:pt idx="0">
                  <c:v>350.31064183111727</c:v>
                </c:pt>
                <c:pt idx="1">
                  <c:v>539.53493090228994</c:v>
                </c:pt>
                <c:pt idx="2">
                  <c:v>591.62031904732112</c:v>
                </c:pt>
                <c:pt idx="3">
                  <c:v>897.7880900776106</c:v>
                </c:pt>
                <c:pt idx="4">
                  <c:v>372.8004567153086</c:v>
                </c:pt>
                <c:pt idx="5">
                  <c:v>573.62572175927301</c:v>
                </c:pt>
                <c:pt idx="6">
                  <c:v>628.42083693135464</c:v>
                </c:pt>
                <c:pt idx="7">
                  <c:v>952.77800719253298</c:v>
                </c:pt>
                <c:pt idx="8">
                  <c:v>395.29027159949987</c:v>
                </c:pt>
                <c:pt idx="9">
                  <c:v>607.71651261625607</c:v>
                </c:pt>
                <c:pt idx="10">
                  <c:v>665.22135481538817</c:v>
                </c:pt>
                <c:pt idx="11">
                  <c:v>1007.7679243074555</c:v>
                </c:pt>
                <c:pt idx="12">
                  <c:v>417.78008648369121</c:v>
                </c:pt>
                <c:pt idx="13">
                  <c:v>641.80730347323924</c:v>
                </c:pt>
                <c:pt idx="14">
                  <c:v>702.02187269942181</c:v>
                </c:pt>
                <c:pt idx="15">
                  <c:v>1062.7578414223779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1B-414B-8142-7E81B0098DB7}"/>
            </c:ext>
          </c:extLst>
        </c:ser>
        <c:ser>
          <c:idx val="3"/>
          <c:order val="3"/>
          <c:tx>
            <c:strRef>
              <c:f>Solutions!$E$2</c:f>
              <c:strCache>
                <c:ptCount val="1"/>
                <c:pt idx="0">
                  <c:v>Centred Moving Average 
(=(MAi-1 + MAi)/2)
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ln>
                <a:solidFill>
                  <a:srgbClr val="FFC00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Solutions!$E$3:$E$18</c:f>
              <c:numCache>
                <c:formatCode>General</c:formatCode>
                <c:ptCount val="16"/>
                <c:pt idx="2" formatCode="0.000">
                  <c:v>591.25</c:v>
                </c:pt>
                <c:pt idx="3" formatCode="0.000">
                  <c:v>595</c:v>
                </c:pt>
                <c:pt idx="4" formatCode="0.000">
                  <c:v>604.375</c:v>
                </c:pt>
                <c:pt idx="5" formatCode="0.000">
                  <c:v>626.25</c:v>
                </c:pt>
                <c:pt idx="6" formatCode="0.000">
                  <c:v>641.25</c:v>
                </c:pt>
                <c:pt idx="7" formatCode="0.000">
                  <c:v>646.875</c:v>
                </c:pt>
                <c:pt idx="8" formatCode="0.000">
                  <c:v>650</c:v>
                </c:pt>
                <c:pt idx="9" formatCode="0.000">
                  <c:v>653.125</c:v>
                </c:pt>
                <c:pt idx="10" formatCode="0.000">
                  <c:v>659.375</c:v>
                </c:pt>
                <c:pt idx="11" formatCode="0.000">
                  <c:v>670.625</c:v>
                </c:pt>
                <c:pt idx="12" formatCode="0.000">
                  <c:v>688.125</c:v>
                </c:pt>
                <c:pt idx="13" formatCode="0.000">
                  <c:v>705.625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1B-414B-8142-7E81B009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0128"/>
        <c:axId val="68721664"/>
      </c:scatterChart>
      <c:valAx>
        <c:axId val="6872012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92320641854704555"/>
              <c:y val="0.8967228805846713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anchor="ctr" anchorCtr="1"/>
          <a:lstStyle/>
          <a:p>
            <a:pPr>
              <a:defRPr/>
            </a:pPr>
            <a:endParaRPr lang="en-US"/>
          </a:p>
        </c:txPr>
        <c:crossAx val="68721664"/>
        <c:crosses val="autoZero"/>
        <c:crossBetween val="midCat"/>
        <c:majorUnit val="1"/>
      </c:valAx>
      <c:valAx>
        <c:axId val="6872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720128"/>
        <c:crossesAt val="0"/>
        <c:crossBetween val="midCat"/>
      </c:valAx>
    </c:plotArea>
    <c:legend>
      <c:legendPos val="b"/>
      <c:layout>
        <c:manualLayout>
          <c:xMode val="edge"/>
          <c:yMode val="edge"/>
          <c:x val="0"/>
          <c:y val="0.91150910960066589"/>
          <c:w val="0.93157726000140995"/>
          <c:h val="7.090933204198862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Centred Moving Average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1118227485408E-2"/>
          <c:y val="0.14766936167131922"/>
          <c:w val="0.90297659046690826"/>
          <c:h val="0.686194350935698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1-4D29-B204-D8D495C79A39}"/>
            </c:ext>
          </c:extLst>
        </c:ser>
        <c:ser>
          <c:idx val="3"/>
          <c:order val="1"/>
          <c:tx>
            <c:strRef>
              <c:f>Solutions!$E$2</c:f>
              <c:strCache>
                <c:ptCount val="1"/>
                <c:pt idx="0">
                  <c:v>Centred Moving Average 
(=(MAi-1 + MAi)/2)
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Solutions!$E$3:$E$18</c:f>
              <c:numCache>
                <c:formatCode>General</c:formatCode>
                <c:ptCount val="16"/>
                <c:pt idx="2" formatCode="0.000">
                  <c:v>591.25</c:v>
                </c:pt>
                <c:pt idx="3" formatCode="0.000">
                  <c:v>595</c:v>
                </c:pt>
                <c:pt idx="4" formatCode="0.000">
                  <c:v>604.375</c:v>
                </c:pt>
                <c:pt idx="5" formatCode="0.000">
                  <c:v>626.25</c:v>
                </c:pt>
                <c:pt idx="6" formatCode="0.000">
                  <c:v>641.25</c:v>
                </c:pt>
                <c:pt idx="7" formatCode="0.000">
                  <c:v>646.875</c:v>
                </c:pt>
                <c:pt idx="8" formatCode="0.000">
                  <c:v>650</c:v>
                </c:pt>
                <c:pt idx="9" formatCode="0.000">
                  <c:v>653.125</c:v>
                </c:pt>
                <c:pt idx="10" formatCode="0.000">
                  <c:v>659.375</c:v>
                </c:pt>
                <c:pt idx="11" formatCode="0.000">
                  <c:v>670.625</c:v>
                </c:pt>
                <c:pt idx="12" formatCode="0.000">
                  <c:v>688.125</c:v>
                </c:pt>
                <c:pt idx="13" formatCode="0.000">
                  <c:v>705.625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1-4D29-B204-D8D495C79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79840"/>
        <c:axId val="110181376"/>
      </c:scatterChart>
      <c:valAx>
        <c:axId val="110179840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90919109052736491"/>
              <c:y val="0.900724661309817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anchor="ctr" anchorCtr="1"/>
          <a:lstStyle/>
          <a:p>
            <a:pPr>
              <a:defRPr/>
            </a:pPr>
            <a:endParaRPr lang="en-US"/>
          </a:p>
        </c:txPr>
        <c:crossAx val="110181376"/>
        <c:crosses val="autoZero"/>
        <c:crossBetween val="midCat"/>
        <c:majorUnit val="1"/>
      </c:valAx>
      <c:valAx>
        <c:axId val="11018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179840"/>
        <c:crossesAt val="0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2559544382680761E-2"/>
          <c:y val="0.13665912258493484"/>
          <c:w val="0.88064385442905491"/>
          <c:h val="0.706343933407495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trendline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32005486592827526"/>
                  <c:y val="0.1872336720935532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41-4B09-85AA-0FA686535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2160"/>
        <c:axId val="100590336"/>
      </c:scatterChart>
      <c:valAx>
        <c:axId val="100572160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89804880959914779"/>
              <c:y val="0.914622220517344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0590336"/>
        <c:crosses val="autoZero"/>
        <c:crossBetween val="midCat"/>
        <c:majorUnit val="1"/>
      </c:valAx>
      <c:valAx>
        <c:axId val="1005903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057216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5735045864810907"/>
          <c:y val="0.9064692418837188"/>
          <c:w val="0.73567401899138707"/>
          <c:h val="8.330788804071247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Cyclicity and Irregular Variations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2976209333460055E-2"/>
          <c:y val="0.16915606984721082"/>
          <c:w val="0.91709053618173653"/>
          <c:h val="0.66063440371444737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Solutions!$N$2</c:f>
              <c:strCache>
                <c:ptCount val="1"/>
                <c:pt idx="0">
                  <c:v>Cyclicity (3-period MA)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Solutions!$N$3:$N$18</c:f>
              <c:numCache>
                <c:formatCode>0.000</c:formatCode>
                <c:ptCount val="16"/>
                <c:pt idx="1">
                  <c:v>1.0119552152923532</c:v>
                </c:pt>
                <c:pt idx="2">
                  <c:v>0.98870536781867446</c:v>
                </c:pt>
                <c:pt idx="3">
                  <c:v>0.98867723228116711</c:v>
                </c:pt>
                <c:pt idx="4">
                  <c:v>0.98448938839097744</c:v>
                </c:pt>
                <c:pt idx="5">
                  <c:v>1.0099656965284183</c:v>
                </c:pt>
                <c:pt idx="6">
                  <c:v>1.0095535300766045</c:v>
                </c:pt>
                <c:pt idx="7">
                  <c:v>1.0130103374423267</c:v>
                </c:pt>
                <c:pt idx="8">
                  <c:v>0.99458907515578288</c:v>
                </c:pt>
                <c:pt idx="9">
                  <c:v>0.97592581326854011</c:v>
                </c:pt>
                <c:pt idx="10">
                  <c:v>0.97947136952183678</c:v>
                </c:pt>
                <c:pt idx="11">
                  <c:v>0.97624957281504032</c:v>
                </c:pt>
                <c:pt idx="12">
                  <c:v>1.0035299965768771</c:v>
                </c:pt>
                <c:pt idx="13">
                  <c:v>1.0058595977156504</c:v>
                </c:pt>
                <c:pt idx="14">
                  <c:v>1.0214644111511644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9-42E6-A603-3A3BD9160F49}"/>
            </c:ext>
          </c:extLst>
        </c:ser>
        <c:ser>
          <c:idx val="1"/>
          <c:order val="1"/>
          <c:tx>
            <c:strRef>
              <c:f>Solutions!$O$2</c:f>
              <c:strCache>
                <c:ptCount val="1"/>
                <c:pt idx="0">
                  <c:v>Irregular Variations (=Cyclicity*Irregulari/Cyclicityi)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Solutions!$O$3:$O$18</c:f>
              <c:numCache>
                <c:formatCode>0.000</c:formatCode>
                <c:ptCount val="16"/>
                <c:pt idx="1">
                  <c:v>1.0073533365656298</c:v>
                </c:pt>
                <c:pt idx="2">
                  <c:v>1.000105677572239</c:v>
                </c:pt>
                <c:pt idx="3">
                  <c:v>0.968880194463969</c:v>
                </c:pt>
                <c:pt idx="4">
                  <c:v>1.0353712980422838</c:v>
                </c:pt>
                <c:pt idx="5">
                  <c:v>0.96661334487568584</c:v>
                </c:pt>
                <c:pt idx="6">
                  <c:v>1.0245506381504237</c:v>
                </c:pt>
                <c:pt idx="7">
                  <c:v>1.0050001653312259</c:v>
                </c:pt>
                <c:pt idx="8">
                  <c:v>0.99198429469343263</c:v>
                </c:pt>
                <c:pt idx="9">
                  <c:v>1.003226795844532</c:v>
                </c:pt>
                <c:pt idx="10">
                  <c:v>0.9822500186194586</c:v>
                </c:pt>
                <c:pt idx="11">
                  <c:v>1.0215148244444168</c:v>
                </c:pt>
                <c:pt idx="12">
                  <c:v>0.9659995613621043</c:v>
                </c:pt>
                <c:pt idx="13">
                  <c:v>1.0378456840361854</c:v>
                </c:pt>
                <c:pt idx="14">
                  <c:v>0.9831396996716284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9-42E6-A603-3A3BD916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47968"/>
        <c:axId val="100553856"/>
      </c:scatterChart>
      <c:valAx>
        <c:axId val="10054796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89308192151051258"/>
              <c:y val="0.8983398562386282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0553856"/>
        <c:crosses val="autoZero"/>
        <c:crossBetween val="midCat"/>
        <c:majorUnit val="1"/>
      </c:valAx>
      <c:valAx>
        <c:axId val="100553856"/>
        <c:scaling>
          <c:orientation val="minMax"/>
          <c:max val="1.3"/>
          <c:min val="0.70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5479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SG" sz="2000"/>
              <a:t>Forecast for the Next 4 Quarters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551165656365517E-2"/>
          <c:y val="0.14239444688703251"/>
          <c:w val="0.89655864252027662"/>
          <c:h val="0.681421030786065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A-4771-BC65-4AFDEF202FDF}"/>
            </c:ext>
          </c:extLst>
        </c:ser>
        <c:ser>
          <c:idx val="1"/>
          <c:order val="1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DA-4771-BC65-4AFDEF202FDF}"/>
            </c:ext>
          </c:extLst>
        </c:ser>
        <c:ser>
          <c:idx val="2"/>
          <c:order val="2"/>
          <c:tx>
            <c:strRef>
              <c:f>Solutions!$J$2</c:f>
              <c:strCache>
                <c:ptCount val="1"/>
                <c:pt idx="0">
                  <c:v>Seasonalized forecast
(= Seasonal Indexi *Deseasonalized forecasti)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Solutions!$J$3:$J$18</c:f>
              <c:numCache>
                <c:formatCode>0.000</c:formatCode>
                <c:ptCount val="16"/>
                <c:pt idx="0">
                  <c:v>350.31064183111727</c:v>
                </c:pt>
                <c:pt idx="1">
                  <c:v>539.53493090228994</c:v>
                </c:pt>
                <c:pt idx="2">
                  <c:v>591.62031904732112</c:v>
                </c:pt>
                <c:pt idx="3">
                  <c:v>897.7880900776106</c:v>
                </c:pt>
                <c:pt idx="4">
                  <c:v>372.8004567153086</c:v>
                </c:pt>
                <c:pt idx="5">
                  <c:v>573.62572175927301</c:v>
                </c:pt>
                <c:pt idx="6">
                  <c:v>628.42083693135464</c:v>
                </c:pt>
                <c:pt idx="7">
                  <c:v>952.77800719253298</c:v>
                </c:pt>
                <c:pt idx="8">
                  <c:v>395.29027159949987</c:v>
                </c:pt>
                <c:pt idx="9">
                  <c:v>607.71651261625607</c:v>
                </c:pt>
                <c:pt idx="10">
                  <c:v>665.22135481538817</c:v>
                </c:pt>
                <c:pt idx="11">
                  <c:v>1007.7679243074555</c:v>
                </c:pt>
                <c:pt idx="12">
                  <c:v>417.78008648369121</c:v>
                </c:pt>
                <c:pt idx="13">
                  <c:v>641.80730347323924</c:v>
                </c:pt>
                <c:pt idx="14">
                  <c:v>702.02187269942181</c:v>
                </c:pt>
                <c:pt idx="15">
                  <c:v>1062.7578414223779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DA-4771-BC65-4AFDEF202FDF}"/>
            </c:ext>
          </c:extLst>
        </c:ser>
        <c:ser>
          <c:idx val="4"/>
          <c:order val="3"/>
          <c:tx>
            <c:strRef>
              <c:f>Solutions!$A$71</c:f>
              <c:strCache>
                <c:ptCount val="1"/>
                <c:pt idx="0">
                  <c:v>Forecast for the next 4 quarters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Solutions!$B$73:$B$76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</c:numCache>
            </c:numRef>
          </c:xVal>
          <c:yVal>
            <c:numRef>
              <c:f>Solutions!$E$73:$E$76</c:f>
              <c:numCache>
                <c:formatCode>0.000</c:formatCode>
                <c:ptCount val="4"/>
                <c:pt idx="0">
                  <c:v>440.27053387628649</c:v>
                </c:pt>
                <c:pt idx="1">
                  <c:v>675.89905310697645</c:v>
                </c:pt>
                <c:pt idx="2">
                  <c:v>738.82342556915671</c:v>
                </c:pt>
                <c:pt idx="3">
                  <c:v>1117.7493050855885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DA-4771-BC65-4AFDEF20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25280"/>
        <c:axId val="116523392"/>
      </c:scatterChart>
      <c:valAx>
        <c:axId val="110225280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SG" sz="1400"/>
                  <a:t>Quarter</a:t>
                </a:r>
              </a:p>
            </c:rich>
          </c:tx>
          <c:layout>
            <c:manualLayout>
              <c:xMode val="edge"/>
              <c:yMode val="edge"/>
              <c:x val="0.89655044633978664"/>
              <c:y val="0.9035284230846810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anchor="ctr" anchorCtr="1"/>
          <a:lstStyle/>
          <a:p>
            <a:pPr>
              <a:defRPr sz="1100"/>
            </a:pPr>
            <a:endParaRPr lang="en-US"/>
          </a:p>
        </c:txPr>
        <c:crossAx val="116523392"/>
        <c:crossesAt val="0"/>
        <c:crossBetween val="midCat"/>
        <c:majorUnit val="1"/>
      </c:valAx>
      <c:valAx>
        <c:axId val="1165233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10225280"/>
        <c:crossesAt val="0"/>
        <c:crossBetween val="midCat"/>
      </c:valAx>
    </c:plotArea>
    <c:legend>
      <c:legendPos val="b"/>
      <c:layout>
        <c:manualLayout>
          <c:xMode val="edge"/>
          <c:yMode val="edge"/>
          <c:x val="3.7952665853523332E-2"/>
          <c:y val="0.91267056203308139"/>
          <c:w val="0.79695323768365023"/>
          <c:h val="7.2538988029035911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250825</xdr:colOff>
      <xdr:row>50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95D16-46ED-49DE-BCC6-8B99AB71E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29</xdr:row>
      <xdr:rowOff>292100</xdr:rowOff>
    </xdr:from>
    <xdr:to>
      <xdr:col>13</xdr:col>
      <xdr:colOff>1078442</xdr:colOff>
      <xdr:row>48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4BC778-7757-40EA-99F1-B93E10262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50</xdr:row>
      <xdr:rowOff>82550</xdr:rowOff>
    </xdr:from>
    <xdr:to>
      <xdr:col>12</xdr:col>
      <xdr:colOff>921845</xdr:colOff>
      <xdr:row>70</xdr:row>
      <xdr:rowOff>98233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5FF3EA-194C-4918-B9E5-DC721971B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7</xdr:col>
      <xdr:colOff>231775</xdr:colOff>
      <xdr:row>67</xdr:row>
      <xdr:rowOff>171449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9572D8-6424-46E5-A4A4-A91C1D805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71</xdr:row>
      <xdr:rowOff>0</xdr:rowOff>
    </xdr:from>
    <xdr:to>
      <xdr:col>13</xdr:col>
      <xdr:colOff>449792</xdr:colOff>
      <xdr:row>91</xdr:row>
      <xdr:rowOff>176389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ED9985-EC7D-405C-9692-6CFC6CB2C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84668</xdr:colOff>
      <xdr:row>25</xdr:row>
      <xdr:rowOff>25401</xdr:rowOff>
    </xdr:from>
    <xdr:to>
      <xdr:col>12</xdr:col>
      <xdr:colOff>1258685</xdr:colOff>
      <xdr:row>28</xdr:row>
      <xdr:rowOff>28654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BEB5E-5A21-C702-6076-AA56895B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9868" y="5638801"/>
          <a:ext cx="2333951" cy="562053"/>
        </a:xfrm>
        <a:prstGeom prst="rect">
          <a:avLst/>
        </a:prstGeom>
      </xdr:spPr>
    </xdr:pic>
    <xdr:clientData/>
  </xdr:twoCellAnchor>
  <xdr:twoCellAnchor editAs="oneCell">
    <xdr:from>
      <xdr:col>15</xdr:col>
      <xdr:colOff>361803</xdr:colOff>
      <xdr:row>1</xdr:row>
      <xdr:rowOff>679302</xdr:rowOff>
    </xdr:from>
    <xdr:to>
      <xdr:col>19</xdr:col>
      <xdr:colOff>689849</xdr:colOff>
      <xdr:row>2</xdr:row>
      <xdr:rowOff>60711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6616DB-FCD9-C7BF-A925-7EEC60CE3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429768" y="863895"/>
          <a:ext cx="5467116" cy="524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09BF-8177-4553-A57C-E83CA595F203}">
  <dimension ref="A1:B17"/>
  <sheetViews>
    <sheetView workbookViewId="0">
      <selection activeCell="B2" sqref="B2:B17"/>
    </sheetView>
  </sheetViews>
  <sheetFormatPr defaultRowHeight="14.5" x14ac:dyDescent="0.35"/>
  <cols>
    <col min="2" max="2" width="16.7265625" bestFit="1" customWidth="1"/>
  </cols>
  <sheetData>
    <row r="1" spans="1:2" x14ac:dyDescent="0.35">
      <c r="A1" s="2" t="s">
        <v>52</v>
      </c>
      <c r="B1" s="2" t="s">
        <v>53</v>
      </c>
    </row>
    <row r="2" spans="1:2" x14ac:dyDescent="0.35">
      <c r="A2" s="1" t="s">
        <v>0</v>
      </c>
      <c r="B2" s="1">
        <v>360</v>
      </c>
    </row>
    <row r="3" spans="1:2" x14ac:dyDescent="0.35">
      <c r="A3" s="1" t="s">
        <v>1</v>
      </c>
      <c r="B3" s="1">
        <v>550</v>
      </c>
    </row>
    <row r="4" spans="1:2" x14ac:dyDescent="0.35">
      <c r="A4" s="1" t="s">
        <v>2</v>
      </c>
      <c r="B4" s="1">
        <v>585</v>
      </c>
    </row>
    <row r="5" spans="1:2" x14ac:dyDescent="0.35">
      <c r="A5" s="1" t="s">
        <v>3</v>
      </c>
      <c r="B5" s="1">
        <v>860</v>
      </c>
    </row>
    <row r="6" spans="1:2" x14ac:dyDescent="0.35">
      <c r="A6" s="1" t="s">
        <v>4</v>
      </c>
      <c r="B6" s="1">
        <v>380</v>
      </c>
    </row>
    <row r="7" spans="1:2" x14ac:dyDescent="0.35">
      <c r="A7" s="1" t="s">
        <v>5</v>
      </c>
      <c r="B7" s="1">
        <v>560</v>
      </c>
    </row>
    <row r="8" spans="1:2" x14ac:dyDescent="0.35">
      <c r="A8" s="1" t="s">
        <v>6</v>
      </c>
      <c r="B8" s="1">
        <v>650</v>
      </c>
    </row>
    <row r="9" spans="1:2" x14ac:dyDescent="0.35">
      <c r="A9" s="1" t="s">
        <v>7</v>
      </c>
      <c r="B9" s="1">
        <v>970</v>
      </c>
    </row>
    <row r="10" spans="1:2" x14ac:dyDescent="0.35">
      <c r="A10" s="1" t="s">
        <v>44</v>
      </c>
      <c r="B10" s="1">
        <v>390</v>
      </c>
    </row>
    <row r="11" spans="1:2" x14ac:dyDescent="0.35">
      <c r="A11" s="1" t="s">
        <v>45</v>
      </c>
      <c r="B11" s="1">
        <v>595</v>
      </c>
    </row>
    <row r="12" spans="1:2" x14ac:dyDescent="0.35">
      <c r="A12" s="1" t="s">
        <v>46</v>
      </c>
      <c r="B12" s="1">
        <v>640</v>
      </c>
    </row>
    <row r="13" spans="1:2" x14ac:dyDescent="0.35">
      <c r="A13" s="1" t="s">
        <v>47</v>
      </c>
      <c r="B13" s="1">
        <v>1005</v>
      </c>
    </row>
    <row r="14" spans="1:2" x14ac:dyDescent="0.35">
      <c r="A14" s="1" t="s">
        <v>48</v>
      </c>
      <c r="B14" s="1">
        <v>405</v>
      </c>
    </row>
    <row r="15" spans="1:2" x14ac:dyDescent="0.35">
      <c r="A15" s="1" t="s">
        <v>49</v>
      </c>
      <c r="B15" s="1">
        <v>670</v>
      </c>
    </row>
    <row r="16" spans="1:2" x14ac:dyDescent="0.35">
      <c r="A16" s="1" t="s">
        <v>50</v>
      </c>
      <c r="B16" s="1">
        <v>705</v>
      </c>
    </row>
    <row r="17" spans="1:2" x14ac:dyDescent="0.35">
      <c r="A17" s="1" t="s">
        <v>51</v>
      </c>
      <c r="B17" s="1">
        <v>1080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A1DB-64A7-4D59-9CAF-145CF62E424F}">
  <dimension ref="A1:S76"/>
  <sheetViews>
    <sheetView tabSelected="1" zoomScale="63" workbookViewId="0">
      <selection activeCell="H21" sqref="H21"/>
    </sheetView>
  </sheetViews>
  <sheetFormatPr defaultColWidth="18.36328125" defaultRowHeight="14.5" x14ac:dyDescent="0.35"/>
  <cols>
    <col min="1" max="1" width="14.26953125" customWidth="1"/>
    <col min="2" max="2" width="17.81640625" customWidth="1"/>
    <col min="3" max="3" width="14.90625" customWidth="1"/>
    <col min="4" max="4" width="16.36328125" customWidth="1"/>
    <col min="5" max="5" width="20.08984375" customWidth="1"/>
    <col min="6" max="6" width="18.36328125" customWidth="1"/>
    <col min="7" max="7" width="14.453125" bestFit="1" customWidth="1"/>
    <col min="8" max="8" width="26.7265625" customWidth="1"/>
    <col min="9" max="9" width="16.26953125" customWidth="1"/>
    <col min="10" max="10" width="18.36328125" customWidth="1"/>
    <col min="11" max="11" width="14.81640625" customWidth="1"/>
    <col min="12" max="12" width="16.6328125" customWidth="1"/>
    <col min="14" max="14" width="18.36328125" customWidth="1"/>
  </cols>
  <sheetData>
    <row r="1" spans="1:15" ht="14.5" customHeight="1" x14ac:dyDescent="0.35">
      <c r="A1" s="68" t="s">
        <v>9</v>
      </c>
      <c r="B1" s="68"/>
      <c r="C1" s="68"/>
      <c r="D1" s="69" t="s">
        <v>15</v>
      </c>
      <c r="E1" s="69"/>
      <c r="F1" s="69"/>
      <c r="G1" s="69"/>
      <c r="H1" s="69"/>
      <c r="I1" s="70" t="s">
        <v>16</v>
      </c>
      <c r="J1" s="70"/>
      <c r="K1" s="70"/>
      <c r="L1" s="70"/>
      <c r="M1" s="63" t="s">
        <v>26</v>
      </c>
      <c r="N1" s="64"/>
      <c r="O1" s="64"/>
    </row>
    <row r="2" spans="1:15" ht="90" customHeight="1" x14ac:dyDescent="0.35">
      <c r="A2" s="3" t="s">
        <v>52</v>
      </c>
      <c r="B2" s="3" t="s">
        <v>33</v>
      </c>
      <c r="C2" s="3" t="s">
        <v>13</v>
      </c>
      <c r="D2" s="8" t="s">
        <v>29</v>
      </c>
      <c r="E2" s="8" t="s">
        <v>34</v>
      </c>
      <c r="F2" s="8" t="s">
        <v>35</v>
      </c>
      <c r="G2" s="8" t="s">
        <v>36</v>
      </c>
      <c r="H2" s="8" t="s">
        <v>37</v>
      </c>
      <c r="I2" s="5" t="s">
        <v>38</v>
      </c>
      <c r="J2" s="5" t="s">
        <v>39</v>
      </c>
      <c r="K2" s="5" t="s">
        <v>40</v>
      </c>
      <c r="L2" s="5" t="s">
        <v>14</v>
      </c>
      <c r="M2" s="6" t="s">
        <v>41</v>
      </c>
      <c r="N2" s="7" t="s">
        <v>43</v>
      </c>
      <c r="O2" s="7" t="s">
        <v>42</v>
      </c>
    </row>
    <row r="3" spans="1:15" s="18" customFormat="1" x14ac:dyDescent="0.35">
      <c r="A3" s="15" t="s">
        <v>0</v>
      </c>
      <c r="B3" s="15">
        <v>360</v>
      </c>
      <c r="C3" s="15">
        <v>1</v>
      </c>
      <c r="D3" s="16"/>
      <c r="E3" s="16"/>
      <c r="F3" s="16"/>
      <c r="G3" s="17">
        <f>$B$30</f>
        <v>0.60631278912660236</v>
      </c>
      <c r="H3" s="17">
        <f>B3/G3</f>
        <v>593.75293817994907</v>
      </c>
      <c r="I3" s="36">
        <f>($H$20*C3)+$H$19</f>
        <v>577.77214684147123</v>
      </c>
      <c r="J3" s="36">
        <f>G3*I3</f>
        <v>350.31064183111727</v>
      </c>
      <c r="K3" s="36">
        <f>ABS(B3-J3)</f>
        <v>9.6893581688827339</v>
      </c>
      <c r="L3" s="40">
        <f>K3/B3</f>
        <v>2.6914883802452039E-2</v>
      </c>
      <c r="M3" s="45">
        <f>B3/J3</f>
        <v>1.0276593314957125</v>
      </c>
      <c r="N3" s="46"/>
      <c r="O3" s="47"/>
    </row>
    <row r="4" spans="1:15" s="18" customFormat="1" x14ac:dyDescent="0.35">
      <c r="A4" s="15" t="s">
        <v>1</v>
      </c>
      <c r="B4" s="15">
        <v>550</v>
      </c>
      <c r="C4" s="15">
        <v>2</v>
      </c>
      <c r="D4" s="17">
        <f>AVERAGE(B3:B6)</f>
        <v>588.75</v>
      </c>
      <c r="E4" s="16"/>
      <c r="F4" s="16"/>
      <c r="G4" s="17">
        <f>$C$30</f>
        <v>0.91906859146974929</v>
      </c>
      <c r="H4" s="17">
        <f t="shared" ref="H4:H18" si="0">B4/G4</f>
        <v>598.43193979728437</v>
      </c>
      <c r="I4" s="36">
        <f t="shared" ref="I4:I18" si="1">($H$20*C4)+$H$19</f>
        <v>587.04533688772938</v>
      </c>
      <c r="J4" s="36">
        <f t="shared" ref="J4:J18" si="2">G4*I4</f>
        <v>539.53493090228994</v>
      </c>
      <c r="K4" s="36">
        <f t="shared" ref="K4:K18" si="3">ABS(B4-J4)</f>
        <v>10.465069097710057</v>
      </c>
      <c r="L4" s="40">
        <f t="shared" ref="L4:L18" si="4">K4/B4</f>
        <v>1.9027398359472831E-2</v>
      </c>
      <c r="M4" s="45">
        <f t="shared" ref="M4:M18" si="5">B4/J4</f>
        <v>1.0193964625797423</v>
      </c>
      <c r="N4" s="62">
        <f>AVERAGE(M3:M5)</f>
        <v>1.0119552152923532</v>
      </c>
      <c r="O4" s="62">
        <f>M4/N4</f>
        <v>1.0073533365656298</v>
      </c>
    </row>
    <row r="5" spans="1:15" s="18" customFormat="1" x14ac:dyDescent="0.35">
      <c r="A5" s="15" t="s">
        <v>2</v>
      </c>
      <c r="B5" s="15">
        <v>585</v>
      </c>
      <c r="C5" s="15">
        <v>3</v>
      </c>
      <c r="D5" s="17">
        <f>AVERAGE(B4:B7)</f>
        <v>593.75</v>
      </c>
      <c r="E5" s="17">
        <f>AVERAGE(D4:D5)</f>
        <v>591.25</v>
      </c>
      <c r="F5" s="17">
        <f>B5/E5</f>
        <v>0.98942917547568709</v>
      </c>
      <c r="G5" s="17">
        <f>$D$30</f>
        <v>0.99212131155672356</v>
      </c>
      <c r="H5" s="17">
        <f t="shared" si="0"/>
        <v>589.6456342441478</v>
      </c>
      <c r="I5" s="36">
        <f t="shared" si="1"/>
        <v>596.31852693398753</v>
      </c>
      <c r="J5" s="36">
        <f t="shared" si="2"/>
        <v>591.62031904732112</v>
      </c>
      <c r="K5" s="36">
        <f t="shared" si="3"/>
        <v>6.620319047321118</v>
      </c>
      <c r="L5" s="40">
        <f t="shared" si="4"/>
        <v>1.1316784696275416E-2</v>
      </c>
      <c r="M5" s="45">
        <f t="shared" si="5"/>
        <v>0.98880985180160519</v>
      </c>
      <c r="N5" s="62">
        <f t="shared" ref="N5:N17" si="6">AVERAGE(M4:M6)</f>
        <v>0.98870536781867446</v>
      </c>
      <c r="O5" s="62">
        <f t="shared" ref="O5:O17" si="7">M5/N5</f>
        <v>1.000105677572239</v>
      </c>
    </row>
    <row r="6" spans="1:15" s="18" customFormat="1" x14ac:dyDescent="0.35">
      <c r="A6" s="15" t="s">
        <v>3</v>
      </c>
      <c r="B6" s="15">
        <v>860</v>
      </c>
      <c r="C6" s="15">
        <v>4</v>
      </c>
      <c r="D6" s="17">
        <f t="shared" ref="D6:D16" si="8">AVERAGE(B5:B8)</f>
        <v>596.25</v>
      </c>
      <c r="E6" s="17">
        <f t="shared" ref="E6:E16" si="9">AVERAGE(D5:D6)</f>
        <v>595</v>
      </c>
      <c r="F6" s="17">
        <f t="shared" ref="F6:F16" si="10">B6/E6</f>
        <v>1.4453781512605042</v>
      </c>
      <c r="G6" s="17">
        <f>$E$30</f>
        <v>1.4824973078469241</v>
      </c>
      <c r="H6" s="17">
        <f t="shared" si="0"/>
        <v>580.10223387791791</v>
      </c>
      <c r="I6" s="36">
        <f t="shared" si="1"/>
        <v>605.59171698024568</v>
      </c>
      <c r="J6" s="36">
        <f t="shared" si="2"/>
        <v>897.7880900776106</v>
      </c>
      <c r="K6" s="36">
        <f t="shared" si="3"/>
        <v>37.788090077610605</v>
      </c>
      <c r="L6" s="40">
        <f t="shared" si="4"/>
        <v>4.3939639625128611E-2</v>
      </c>
      <c r="M6" s="45">
        <f t="shared" si="5"/>
        <v>0.95790978907467583</v>
      </c>
      <c r="N6" s="62">
        <f t="shared" si="6"/>
        <v>0.98867723228116711</v>
      </c>
      <c r="O6" s="62">
        <f t="shared" si="7"/>
        <v>0.968880194463969</v>
      </c>
    </row>
    <row r="7" spans="1:15" s="21" customFormat="1" x14ac:dyDescent="0.35">
      <c r="A7" s="19" t="s">
        <v>4</v>
      </c>
      <c r="B7" s="19">
        <v>380</v>
      </c>
      <c r="C7" s="19">
        <v>5</v>
      </c>
      <c r="D7" s="20">
        <f t="shared" si="8"/>
        <v>612.5</v>
      </c>
      <c r="E7" s="20">
        <f t="shared" si="9"/>
        <v>604.375</v>
      </c>
      <c r="F7" s="20">
        <f t="shared" si="10"/>
        <v>0.62874870734229571</v>
      </c>
      <c r="G7" s="20">
        <f>$B$30</f>
        <v>0.60631278912660236</v>
      </c>
      <c r="H7" s="20">
        <f t="shared" si="0"/>
        <v>626.73921252327955</v>
      </c>
      <c r="I7" s="37">
        <f t="shared" si="1"/>
        <v>614.86490702650383</v>
      </c>
      <c r="J7" s="37">
        <f t="shared" si="2"/>
        <v>372.8004567153086</v>
      </c>
      <c r="K7" s="36">
        <f t="shared" si="3"/>
        <v>7.1995432846914014</v>
      </c>
      <c r="L7" s="40">
        <f t="shared" si="4"/>
        <v>1.8946166538661581E-2</v>
      </c>
      <c r="M7" s="59">
        <f t="shared" si="5"/>
        <v>1.0193120559672204</v>
      </c>
      <c r="N7" s="62">
        <f t="shared" si="6"/>
        <v>0.98448938839097744</v>
      </c>
      <c r="O7" s="62">
        <f t="shared" si="7"/>
        <v>1.0353712980422838</v>
      </c>
    </row>
    <row r="8" spans="1:15" s="21" customFormat="1" x14ac:dyDescent="0.35">
      <c r="A8" s="19" t="s">
        <v>5</v>
      </c>
      <c r="B8" s="19">
        <v>560</v>
      </c>
      <c r="C8" s="19">
        <v>6</v>
      </c>
      <c r="D8" s="20">
        <f t="shared" si="8"/>
        <v>640</v>
      </c>
      <c r="E8" s="20">
        <f t="shared" si="9"/>
        <v>626.25</v>
      </c>
      <c r="F8" s="20">
        <f t="shared" si="10"/>
        <v>0.89421157684630737</v>
      </c>
      <c r="G8" s="20">
        <f>$C$30</f>
        <v>0.91906859146974929</v>
      </c>
      <c r="H8" s="20">
        <f t="shared" si="0"/>
        <v>609.31252052087143</v>
      </c>
      <c r="I8" s="37">
        <f t="shared" si="1"/>
        <v>624.13809707276198</v>
      </c>
      <c r="J8" s="37">
        <f t="shared" si="2"/>
        <v>573.62572175927301</v>
      </c>
      <c r="K8" s="36">
        <f t="shared" si="3"/>
        <v>13.625721759273006</v>
      </c>
      <c r="L8" s="40">
        <f t="shared" si="4"/>
        <v>2.4331645998701797E-2</v>
      </c>
      <c r="M8" s="59">
        <f t="shared" si="5"/>
        <v>0.97624632013103629</v>
      </c>
      <c r="N8" s="62">
        <f t="shared" si="6"/>
        <v>1.0099656965284183</v>
      </c>
      <c r="O8" s="62">
        <f t="shared" si="7"/>
        <v>0.96661334487568584</v>
      </c>
    </row>
    <row r="9" spans="1:15" s="21" customFormat="1" x14ac:dyDescent="0.35">
      <c r="A9" s="19" t="s">
        <v>6</v>
      </c>
      <c r="B9" s="19">
        <v>650</v>
      </c>
      <c r="C9" s="19">
        <v>7</v>
      </c>
      <c r="D9" s="20">
        <f t="shared" si="8"/>
        <v>642.5</v>
      </c>
      <c r="E9" s="20">
        <f t="shared" si="9"/>
        <v>641.25</v>
      </c>
      <c r="F9" s="20">
        <f t="shared" si="10"/>
        <v>1.0136452241715399</v>
      </c>
      <c r="G9" s="20">
        <v>0.99212131155672356</v>
      </c>
      <c r="H9" s="20">
        <f t="shared" si="0"/>
        <v>655.16181582683089</v>
      </c>
      <c r="I9" s="37">
        <f t="shared" si="1"/>
        <v>633.41128711902013</v>
      </c>
      <c r="J9" s="37">
        <f t="shared" si="2"/>
        <v>628.42083693135464</v>
      </c>
      <c r="K9" s="36">
        <f t="shared" si="3"/>
        <v>21.579163068645357</v>
      </c>
      <c r="L9" s="40">
        <f t="shared" si="4"/>
        <v>3.3198712413300552E-2</v>
      </c>
      <c r="M9" s="59">
        <f t="shared" si="5"/>
        <v>1.0343387134869981</v>
      </c>
      <c r="N9" s="62">
        <f t="shared" si="6"/>
        <v>1.0095535300766045</v>
      </c>
      <c r="O9" s="62">
        <f t="shared" si="7"/>
        <v>1.0245506381504237</v>
      </c>
    </row>
    <row r="10" spans="1:15" s="21" customFormat="1" x14ac:dyDescent="0.35">
      <c r="A10" s="19" t="s">
        <v>7</v>
      </c>
      <c r="B10" s="19">
        <v>970</v>
      </c>
      <c r="C10" s="19">
        <v>8</v>
      </c>
      <c r="D10" s="20">
        <f t="shared" si="8"/>
        <v>651.25</v>
      </c>
      <c r="E10" s="20">
        <f t="shared" si="9"/>
        <v>646.875</v>
      </c>
      <c r="F10" s="20">
        <f t="shared" si="10"/>
        <v>1.4995169082125603</v>
      </c>
      <c r="G10" s="20">
        <f>$E$30</f>
        <v>1.4824973078469241</v>
      </c>
      <c r="H10" s="20">
        <f t="shared" si="0"/>
        <v>654.30135681579111</v>
      </c>
      <c r="I10" s="37">
        <f t="shared" si="1"/>
        <v>642.68447716527828</v>
      </c>
      <c r="J10" s="37">
        <f t="shared" si="2"/>
        <v>952.77800719253298</v>
      </c>
      <c r="K10" s="36">
        <f t="shared" si="3"/>
        <v>17.221992807467018</v>
      </c>
      <c r="L10" s="40">
        <f t="shared" si="4"/>
        <v>1.7754631760275277E-2</v>
      </c>
      <c r="M10" s="59">
        <f t="shared" si="5"/>
        <v>1.0180755566117794</v>
      </c>
      <c r="N10" s="62">
        <f t="shared" si="6"/>
        <v>1.0130103374423267</v>
      </c>
      <c r="O10" s="62">
        <f t="shared" si="7"/>
        <v>1.0050001653312259</v>
      </c>
    </row>
    <row r="11" spans="1:15" s="24" customFormat="1" x14ac:dyDescent="0.35">
      <c r="A11" s="22" t="s">
        <v>44</v>
      </c>
      <c r="B11" s="22">
        <v>390</v>
      </c>
      <c r="C11" s="22">
        <v>9</v>
      </c>
      <c r="D11" s="23">
        <f t="shared" si="8"/>
        <v>648.75</v>
      </c>
      <c r="E11" s="23">
        <f t="shared" si="9"/>
        <v>650</v>
      </c>
      <c r="F11" s="23">
        <f t="shared" si="10"/>
        <v>0.6</v>
      </c>
      <c r="G11" s="23">
        <f>$B$30</f>
        <v>0.60631278912660236</v>
      </c>
      <c r="H11" s="23">
        <f t="shared" si="0"/>
        <v>643.23234969494479</v>
      </c>
      <c r="I11" s="38">
        <f t="shared" si="1"/>
        <v>651.95766721153643</v>
      </c>
      <c r="J11" s="38">
        <f t="shared" si="2"/>
        <v>395.29027159949987</v>
      </c>
      <c r="K11" s="36">
        <f t="shared" si="3"/>
        <v>5.2902715994998744</v>
      </c>
      <c r="L11" s="40">
        <f t="shared" si="4"/>
        <v>1.3564798973076601E-2</v>
      </c>
      <c r="M11" s="60">
        <f t="shared" si="5"/>
        <v>0.98661674222820273</v>
      </c>
      <c r="N11" s="62">
        <f t="shared" si="6"/>
        <v>0.99458907515578288</v>
      </c>
      <c r="O11" s="62">
        <f t="shared" si="7"/>
        <v>0.99198429469343263</v>
      </c>
    </row>
    <row r="12" spans="1:15" s="24" customFormat="1" x14ac:dyDescent="0.35">
      <c r="A12" s="22" t="s">
        <v>45</v>
      </c>
      <c r="B12" s="22">
        <v>595</v>
      </c>
      <c r="C12" s="22">
        <v>10</v>
      </c>
      <c r="D12" s="23">
        <f t="shared" si="8"/>
        <v>657.5</v>
      </c>
      <c r="E12" s="23">
        <f t="shared" si="9"/>
        <v>653.125</v>
      </c>
      <c r="F12" s="23">
        <f t="shared" si="10"/>
        <v>0.91100478468899526</v>
      </c>
      <c r="G12" s="23">
        <f>$C$30</f>
        <v>0.91906859146974929</v>
      </c>
      <c r="H12" s="23">
        <f t="shared" si="0"/>
        <v>647.39455305342585</v>
      </c>
      <c r="I12" s="38">
        <f t="shared" si="1"/>
        <v>661.23085725779458</v>
      </c>
      <c r="J12" s="38">
        <f t="shared" si="2"/>
        <v>607.71651261625607</v>
      </c>
      <c r="K12" s="36">
        <f t="shared" si="3"/>
        <v>12.716512616256068</v>
      </c>
      <c r="L12" s="40">
        <f t="shared" si="4"/>
        <v>2.1372290111354737E-2</v>
      </c>
      <c r="M12" s="60">
        <f t="shared" si="5"/>
        <v>0.97907492662736662</v>
      </c>
      <c r="N12" s="62">
        <f t="shared" si="6"/>
        <v>0.97592581326854011</v>
      </c>
      <c r="O12" s="62">
        <f t="shared" si="7"/>
        <v>1.003226795844532</v>
      </c>
    </row>
    <row r="13" spans="1:15" s="24" customFormat="1" x14ac:dyDescent="0.35">
      <c r="A13" s="22" t="s">
        <v>46</v>
      </c>
      <c r="B13" s="22">
        <v>640</v>
      </c>
      <c r="C13" s="22">
        <v>11</v>
      </c>
      <c r="D13" s="23">
        <f t="shared" si="8"/>
        <v>661.25</v>
      </c>
      <c r="E13" s="23">
        <f t="shared" si="9"/>
        <v>659.375</v>
      </c>
      <c r="F13" s="23">
        <f t="shared" si="10"/>
        <v>0.97061611374407586</v>
      </c>
      <c r="G13" s="23">
        <v>0.99212131155672356</v>
      </c>
      <c r="H13" s="23">
        <f t="shared" si="0"/>
        <v>645.08240327564886</v>
      </c>
      <c r="I13" s="38">
        <f t="shared" si="1"/>
        <v>670.50404730405273</v>
      </c>
      <c r="J13" s="38">
        <f t="shared" si="2"/>
        <v>665.22135481538817</v>
      </c>
      <c r="K13" s="36">
        <f t="shared" si="3"/>
        <v>25.221354815388167</v>
      </c>
      <c r="L13" s="40">
        <f t="shared" si="4"/>
        <v>3.9408366899044013E-2</v>
      </c>
      <c r="M13" s="60">
        <f t="shared" si="5"/>
        <v>0.96208577095005077</v>
      </c>
      <c r="N13" s="62">
        <f t="shared" si="6"/>
        <v>0.97947136952183678</v>
      </c>
      <c r="O13" s="62">
        <f t="shared" si="7"/>
        <v>0.9822500186194586</v>
      </c>
    </row>
    <row r="14" spans="1:15" s="24" customFormat="1" x14ac:dyDescent="0.35">
      <c r="A14" s="22" t="s">
        <v>47</v>
      </c>
      <c r="B14" s="22">
        <v>1005</v>
      </c>
      <c r="C14" s="22">
        <v>12</v>
      </c>
      <c r="D14" s="23">
        <f t="shared" si="8"/>
        <v>680</v>
      </c>
      <c r="E14" s="23">
        <f t="shared" si="9"/>
        <v>670.625</v>
      </c>
      <c r="F14" s="23">
        <f t="shared" si="10"/>
        <v>1.4986020503261883</v>
      </c>
      <c r="G14" s="23">
        <f>$E$30</f>
        <v>1.4824973078469241</v>
      </c>
      <c r="H14" s="23">
        <f t="shared" si="0"/>
        <v>677.9101686596598</v>
      </c>
      <c r="I14" s="38">
        <f t="shared" si="1"/>
        <v>679.77723735031088</v>
      </c>
      <c r="J14" s="38">
        <f t="shared" si="2"/>
        <v>1007.7679243074555</v>
      </c>
      <c r="K14" s="36">
        <f t="shared" si="3"/>
        <v>2.7679243074554734</v>
      </c>
      <c r="L14" s="40">
        <f t="shared" si="4"/>
        <v>2.7541535397566899E-3</v>
      </c>
      <c r="M14" s="60">
        <f t="shared" si="5"/>
        <v>0.99725341098809273</v>
      </c>
      <c r="N14" s="62">
        <f t="shared" si="6"/>
        <v>0.97624957281504032</v>
      </c>
      <c r="O14" s="62">
        <f t="shared" si="7"/>
        <v>1.0215148244444168</v>
      </c>
    </row>
    <row r="15" spans="1:15" s="27" customFormat="1" x14ac:dyDescent="0.35">
      <c r="A15" s="25" t="s">
        <v>48</v>
      </c>
      <c r="B15" s="25">
        <v>405</v>
      </c>
      <c r="C15" s="25">
        <v>13</v>
      </c>
      <c r="D15" s="26">
        <f t="shared" si="8"/>
        <v>696.25</v>
      </c>
      <c r="E15" s="26">
        <f t="shared" si="9"/>
        <v>688.125</v>
      </c>
      <c r="F15" s="26">
        <f t="shared" si="10"/>
        <v>0.58855585831062673</v>
      </c>
      <c r="G15" s="26">
        <f>$B$30</f>
        <v>0.60631278912660236</v>
      </c>
      <c r="H15" s="26">
        <f t="shared" si="0"/>
        <v>667.97205545244265</v>
      </c>
      <c r="I15" s="39">
        <f t="shared" si="1"/>
        <v>689.05042739656903</v>
      </c>
      <c r="J15" s="39">
        <f t="shared" si="2"/>
        <v>417.78008648369121</v>
      </c>
      <c r="K15" s="39">
        <f t="shared" si="3"/>
        <v>12.780086483691207</v>
      </c>
      <c r="L15" s="61">
        <f t="shared" si="4"/>
        <v>3.1555769095533842E-2</v>
      </c>
      <c r="M15" s="49">
        <f t="shared" si="5"/>
        <v>0.96940953650697737</v>
      </c>
      <c r="N15" s="62">
        <f t="shared" si="6"/>
        <v>1.0035299965768771</v>
      </c>
      <c r="O15" s="62">
        <f t="shared" si="7"/>
        <v>0.9659995613621043</v>
      </c>
    </row>
    <row r="16" spans="1:15" s="27" customFormat="1" x14ac:dyDescent="0.35">
      <c r="A16" s="25" t="s">
        <v>49</v>
      </c>
      <c r="B16" s="25">
        <v>670</v>
      </c>
      <c r="C16" s="25">
        <v>14</v>
      </c>
      <c r="D16" s="26">
        <f t="shared" si="8"/>
        <v>715</v>
      </c>
      <c r="E16" s="26">
        <f t="shared" si="9"/>
        <v>705.625</v>
      </c>
      <c r="F16" s="26">
        <f t="shared" si="10"/>
        <v>0.94951284322409213</v>
      </c>
      <c r="G16" s="26">
        <f>$C$30</f>
        <v>0.91906859146974929</v>
      </c>
      <c r="H16" s="26">
        <f t="shared" si="0"/>
        <v>728.99890848032828</v>
      </c>
      <c r="I16" s="39">
        <f t="shared" si="1"/>
        <v>698.32361744282719</v>
      </c>
      <c r="J16" s="39">
        <f t="shared" si="2"/>
        <v>641.80730347323924</v>
      </c>
      <c r="K16" s="39">
        <f t="shared" si="3"/>
        <v>28.192696526760756</v>
      </c>
      <c r="L16" s="61">
        <f t="shared" si="4"/>
        <v>4.2078651532478736E-2</v>
      </c>
      <c r="M16" s="49">
        <f t="shared" si="5"/>
        <v>1.0439270422355613</v>
      </c>
      <c r="N16" s="62">
        <f t="shared" si="6"/>
        <v>1.0058595977156504</v>
      </c>
      <c r="O16" s="62">
        <f t="shared" si="7"/>
        <v>1.0378456840361854</v>
      </c>
    </row>
    <row r="17" spans="1:15" s="27" customFormat="1" x14ac:dyDescent="0.35">
      <c r="A17" s="25" t="s">
        <v>50</v>
      </c>
      <c r="B17" s="25">
        <v>705</v>
      </c>
      <c r="C17" s="25">
        <v>15</v>
      </c>
      <c r="D17" s="26"/>
      <c r="E17" s="26"/>
      <c r="F17" s="17"/>
      <c r="G17" s="26">
        <v>0.99212131155672356</v>
      </c>
      <c r="H17" s="26">
        <f t="shared" si="0"/>
        <v>710.59858485833195</v>
      </c>
      <c r="I17" s="39">
        <f t="shared" si="1"/>
        <v>707.59680748908534</v>
      </c>
      <c r="J17" s="39">
        <f t="shared" si="2"/>
        <v>702.02187269942181</v>
      </c>
      <c r="K17" s="39">
        <f t="shared" si="3"/>
        <v>2.9781273005781941</v>
      </c>
      <c r="L17" s="61">
        <f t="shared" si="4"/>
        <v>4.2242940433733249E-3</v>
      </c>
      <c r="M17" s="49">
        <f t="shared" si="5"/>
        <v>1.0042422144044125</v>
      </c>
      <c r="N17" s="62">
        <f t="shared" si="6"/>
        <v>1.0214644111511644</v>
      </c>
      <c r="O17" s="62">
        <f t="shared" si="7"/>
        <v>0.9831396996716284</v>
      </c>
    </row>
    <row r="18" spans="1:15" s="27" customFormat="1" x14ac:dyDescent="0.35">
      <c r="A18" s="25" t="s">
        <v>51</v>
      </c>
      <c r="B18" s="25">
        <v>1080</v>
      </c>
      <c r="C18" s="25">
        <v>16</v>
      </c>
      <c r="D18" s="26"/>
      <c r="E18" s="26"/>
      <c r="F18" s="17"/>
      <c r="G18" s="26">
        <f>$E$30</f>
        <v>1.4824973078469241</v>
      </c>
      <c r="H18" s="26">
        <f t="shared" si="0"/>
        <v>728.50047975366431</v>
      </c>
      <c r="I18" s="39">
        <f t="shared" si="1"/>
        <v>716.86999753534349</v>
      </c>
      <c r="J18" s="39">
        <f t="shared" si="2"/>
        <v>1062.7578414223779</v>
      </c>
      <c r="K18" s="39">
        <f t="shared" si="3"/>
        <v>17.242158577622149</v>
      </c>
      <c r="L18" s="61">
        <f t="shared" si="4"/>
        <v>1.5964961645946435E-2</v>
      </c>
      <c r="M18" s="49">
        <f t="shared" si="5"/>
        <v>1.0162239768135191</v>
      </c>
      <c r="N18" s="48"/>
      <c r="O18" s="49"/>
    </row>
    <row r="19" spans="1:15" x14ac:dyDescent="0.35">
      <c r="G19" s="10" t="s">
        <v>17</v>
      </c>
      <c r="H19" s="11">
        <f>INTERCEPT(H3:H18,C3:C18)</f>
        <v>568.49895679521308</v>
      </c>
      <c r="I19" s="9"/>
      <c r="K19" s="41">
        <f>AVERAGE(K3:K18)</f>
        <v>14.461149346178324</v>
      </c>
      <c r="L19" s="44">
        <f>AVERAGE(L3:L18)</f>
        <v>2.2897071814677032E-2</v>
      </c>
      <c r="M19" s="43">
        <f>AVERAGE(M3:M18)</f>
        <v>1.0000363563689345</v>
      </c>
      <c r="N19" s="43">
        <f>AVERAGE(N4:N17)</f>
        <v>0.99738904314538679</v>
      </c>
      <c r="O19" s="43">
        <f>AVERAGE(O4:O17)</f>
        <v>0.99955968097665804</v>
      </c>
    </row>
    <row r="20" spans="1:15" x14ac:dyDescent="0.35">
      <c r="G20" s="10" t="s">
        <v>18</v>
      </c>
      <c r="H20" s="11">
        <f>SLOPE(H3:H18,C3:C18)</f>
        <v>9.2731900462581489</v>
      </c>
      <c r="I20" s="9"/>
      <c r="K20" s="42" t="s">
        <v>27</v>
      </c>
      <c r="L20" s="41" t="s">
        <v>28</v>
      </c>
    </row>
    <row r="21" spans="1:15" x14ac:dyDescent="0.35">
      <c r="G21" s="10" t="s">
        <v>19</v>
      </c>
      <c r="H21" s="10" t="s">
        <v>61</v>
      </c>
    </row>
    <row r="23" spans="1:15" ht="47" customHeight="1" x14ac:dyDescent="0.35">
      <c r="A23" s="4" t="s">
        <v>10</v>
      </c>
      <c r="B23" s="71" t="s">
        <v>21</v>
      </c>
      <c r="C23" s="71"/>
      <c r="D23" s="71"/>
      <c r="E23" s="71"/>
      <c r="G23" s="74" t="s">
        <v>62</v>
      </c>
      <c r="H23" s="75"/>
    </row>
    <row r="24" spans="1:15" x14ac:dyDescent="0.35">
      <c r="A24" s="12" t="s">
        <v>20</v>
      </c>
      <c r="B24" s="30" t="s">
        <v>22</v>
      </c>
      <c r="C24" s="30" t="s">
        <v>23</v>
      </c>
      <c r="D24" s="30" t="s">
        <v>24</v>
      </c>
      <c r="E24" s="30" t="s">
        <v>25</v>
      </c>
    </row>
    <row r="25" spans="1:15" x14ac:dyDescent="0.35">
      <c r="A25" s="13" t="s">
        <v>54</v>
      </c>
      <c r="B25" s="30"/>
      <c r="C25" s="30"/>
      <c r="D25" s="31">
        <f>F5</f>
        <v>0.98942917547568709</v>
      </c>
      <c r="E25" s="31">
        <f>F6</f>
        <v>1.4453781512605042</v>
      </c>
    </row>
    <row r="26" spans="1:15" x14ac:dyDescent="0.35">
      <c r="A26" s="14" t="s">
        <v>55</v>
      </c>
      <c r="B26" s="32">
        <f>F7</f>
        <v>0.62874870734229571</v>
      </c>
      <c r="C26" s="32">
        <f>F8</f>
        <v>0.89421157684630737</v>
      </c>
      <c r="D26" s="32">
        <f>F9</f>
        <v>1.0136452241715399</v>
      </c>
      <c r="E26" s="32">
        <f>F10</f>
        <v>1.4995169082125603</v>
      </c>
      <c r="J26" s="72" t="s">
        <v>59</v>
      </c>
      <c r="K26" s="72"/>
      <c r="N26" s="73" t="s">
        <v>60</v>
      </c>
      <c r="O26" s="73"/>
    </row>
    <row r="27" spans="1:15" x14ac:dyDescent="0.35">
      <c r="A27" s="29" t="s">
        <v>56</v>
      </c>
      <c r="B27" s="33">
        <f>F11</f>
        <v>0.6</v>
      </c>
      <c r="C27" s="33">
        <f>F12</f>
        <v>0.91100478468899526</v>
      </c>
      <c r="D27" s="33">
        <f>F13</f>
        <v>0.97061611374407586</v>
      </c>
      <c r="E27" s="33">
        <f>F14</f>
        <v>1.4986020503261883</v>
      </c>
      <c r="J27" s="72"/>
      <c r="K27" s="72"/>
      <c r="N27" s="73"/>
      <c r="O27" s="73"/>
    </row>
    <row r="28" spans="1:15" x14ac:dyDescent="0.35">
      <c r="A28" s="28" t="s">
        <v>57</v>
      </c>
      <c r="B28" s="34">
        <f>F15</f>
        <v>0.58855585831062673</v>
      </c>
      <c r="C28" s="34">
        <f>F16</f>
        <v>0.94951284322409213</v>
      </c>
      <c r="D28" s="30"/>
      <c r="E28" s="30"/>
      <c r="J28" s="72"/>
      <c r="K28" s="72"/>
      <c r="N28" s="73"/>
      <c r="O28" s="73"/>
    </row>
    <row r="29" spans="1:15" x14ac:dyDescent="0.35">
      <c r="A29" s="12" t="s">
        <v>11</v>
      </c>
      <c r="B29" s="56">
        <f>AVERAGE(B25:B28)</f>
        <v>0.60576818855097414</v>
      </c>
      <c r="C29" s="56">
        <f t="shared" ref="C29:E29" si="11">AVERAGE(C25:C28)</f>
        <v>0.91824306825313162</v>
      </c>
      <c r="D29" s="56">
        <f t="shared" si="11"/>
        <v>0.99123017113043443</v>
      </c>
      <c r="E29" s="56">
        <f t="shared" si="11"/>
        <v>1.4811657032664176</v>
      </c>
      <c r="F29" t="s">
        <v>58</v>
      </c>
      <c r="G29" s="57">
        <f>SUM(B29:E29)</f>
        <v>3.9964071312009581</v>
      </c>
    </row>
    <row r="30" spans="1:15" ht="29" x14ac:dyDescent="0.35">
      <c r="A30" s="4" t="s">
        <v>12</v>
      </c>
      <c r="B30" s="35">
        <f>B29*(4/$G$29)</f>
        <v>0.60631278912660236</v>
      </c>
      <c r="C30" s="35">
        <f t="shared" ref="C30:E30" si="12">C29*(4/$G$29)</f>
        <v>0.91906859146974929</v>
      </c>
      <c r="D30" s="35">
        <f t="shared" si="12"/>
        <v>0.99212131155672356</v>
      </c>
      <c r="E30" s="35">
        <f t="shared" si="12"/>
        <v>1.4824973078469241</v>
      </c>
    </row>
    <row r="54" spans="14:19" x14ac:dyDescent="0.35">
      <c r="N54" s="75" t="s">
        <v>63</v>
      </c>
      <c r="O54" s="75"/>
      <c r="P54" s="75"/>
      <c r="Q54" s="75"/>
      <c r="R54" s="75"/>
      <c r="S54" s="58"/>
    </row>
    <row r="55" spans="14:19" x14ac:dyDescent="0.35">
      <c r="N55" s="75"/>
      <c r="O55" s="75"/>
      <c r="P55" s="75"/>
      <c r="Q55" s="75"/>
      <c r="R55" s="75"/>
    </row>
    <row r="56" spans="14:19" x14ac:dyDescent="0.35">
      <c r="N56" s="75"/>
      <c r="O56" s="75"/>
      <c r="P56" s="75"/>
      <c r="Q56" s="75"/>
      <c r="R56" s="75"/>
    </row>
    <row r="57" spans="14:19" x14ac:dyDescent="0.35">
      <c r="N57" s="75"/>
      <c r="O57" s="75"/>
      <c r="P57" s="75"/>
      <c r="Q57" s="75"/>
      <c r="R57" s="75"/>
    </row>
    <row r="58" spans="14:19" x14ac:dyDescent="0.35">
      <c r="N58" s="75"/>
      <c r="O58" s="75"/>
      <c r="P58" s="75"/>
      <c r="Q58" s="75"/>
      <c r="R58" s="75"/>
    </row>
    <row r="59" spans="14:19" x14ac:dyDescent="0.35">
      <c r="N59" s="75"/>
      <c r="O59" s="75"/>
      <c r="P59" s="75"/>
      <c r="Q59" s="75"/>
      <c r="R59" s="75"/>
    </row>
    <row r="60" spans="14:19" x14ac:dyDescent="0.35">
      <c r="N60" s="75"/>
      <c r="O60" s="75"/>
      <c r="P60" s="75"/>
      <c r="Q60" s="75"/>
      <c r="R60" s="75"/>
    </row>
    <row r="61" spans="14:19" x14ac:dyDescent="0.35">
      <c r="N61" s="75"/>
      <c r="O61" s="75"/>
      <c r="P61" s="75"/>
      <c r="Q61" s="75"/>
      <c r="R61" s="75"/>
    </row>
    <row r="62" spans="14:19" x14ac:dyDescent="0.35">
      <c r="N62" s="75"/>
      <c r="O62" s="75"/>
      <c r="P62" s="75"/>
      <c r="Q62" s="75"/>
      <c r="R62" s="75"/>
    </row>
    <row r="63" spans="14:19" x14ac:dyDescent="0.35">
      <c r="N63" s="75"/>
      <c r="O63" s="75"/>
      <c r="P63" s="75"/>
      <c r="Q63" s="75"/>
      <c r="R63" s="75"/>
    </row>
    <row r="71" spans="1:5" ht="21" x14ac:dyDescent="0.5">
      <c r="A71" s="65" t="s">
        <v>31</v>
      </c>
      <c r="B71" s="66"/>
      <c r="C71" s="66"/>
      <c r="D71" s="66"/>
      <c r="E71" s="67"/>
    </row>
    <row r="72" spans="1:5" ht="43.5" x14ac:dyDescent="0.35">
      <c r="A72" s="50" t="s">
        <v>8</v>
      </c>
      <c r="B72" s="50" t="s">
        <v>30</v>
      </c>
      <c r="C72" s="50" t="s">
        <v>69</v>
      </c>
      <c r="D72" s="50" t="s">
        <v>68</v>
      </c>
      <c r="E72" s="50" t="s">
        <v>32</v>
      </c>
    </row>
    <row r="73" spans="1:5" x14ac:dyDescent="0.35">
      <c r="A73" s="51" t="s">
        <v>64</v>
      </c>
      <c r="B73" s="52">
        <v>17</v>
      </c>
      <c r="C73" s="53">
        <f>($H$20*B73)+568.5</f>
        <v>726.14423078638856</v>
      </c>
      <c r="D73" s="54">
        <f>B30</f>
        <v>0.60631278912660236</v>
      </c>
      <c r="E73" s="55">
        <f>C73*D73</f>
        <v>440.27053387628649</v>
      </c>
    </row>
    <row r="74" spans="1:5" x14ac:dyDescent="0.35">
      <c r="A74" s="51" t="s">
        <v>65</v>
      </c>
      <c r="B74" s="52">
        <v>18</v>
      </c>
      <c r="C74" s="53">
        <f t="shared" ref="C74:C76" si="13">($H$20*B74)+568.5</f>
        <v>735.41742083264671</v>
      </c>
      <c r="D74" s="54">
        <f>C30</f>
        <v>0.91906859146974929</v>
      </c>
      <c r="E74" s="55">
        <f t="shared" ref="E74:E76" si="14">C74*D74</f>
        <v>675.89905310697645</v>
      </c>
    </row>
    <row r="75" spans="1:5" x14ac:dyDescent="0.35">
      <c r="A75" s="51" t="s">
        <v>66</v>
      </c>
      <c r="B75" s="52">
        <v>19</v>
      </c>
      <c r="C75" s="53">
        <f t="shared" si="13"/>
        <v>744.69061087890486</v>
      </c>
      <c r="D75" s="54">
        <f>D30</f>
        <v>0.99212131155672356</v>
      </c>
      <c r="E75" s="55">
        <f t="shared" si="14"/>
        <v>738.82342556915671</v>
      </c>
    </row>
    <row r="76" spans="1:5" x14ac:dyDescent="0.35">
      <c r="A76" s="51" t="s">
        <v>67</v>
      </c>
      <c r="B76" s="52">
        <v>20</v>
      </c>
      <c r="C76" s="53">
        <f t="shared" si="13"/>
        <v>753.96380092516301</v>
      </c>
      <c r="D76" s="54">
        <f>E30</f>
        <v>1.4824973078469241</v>
      </c>
      <c r="E76" s="55">
        <f t="shared" si="14"/>
        <v>1117.7493050855885</v>
      </c>
    </row>
  </sheetData>
  <mergeCells count="10">
    <mergeCell ref="M1:O1"/>
    <mergeCell ref="A71:E71"/>
    <mergeCell ref="A1:C1"/>
    <mergeCell ref="D1:H1"/>
    <mergeCell ref="I1:L1"/>
    <mergeCell ref="B23:E23"/>
    <mergeCell ref="J26:K28"/>
    <mergeCell ref="N26:O28"/>
    <mergeCell ref="G23:H23"/>
    <mergeCell ref="N54:R63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Decomposition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2026-02-17T14:23:30Z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2021-10-30T08:11:56Z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90bc6dd6-b842-4cce-8aec-82e2ea6dc2d7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15357835-61d4-4969-8ba2-c868d93c4442</vt:lpwstr>
  </property>
</Properties>
</file>