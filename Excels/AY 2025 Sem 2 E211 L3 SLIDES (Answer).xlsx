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yrp-my.sharepoint.com/personal/23050193_myrp_edu_sg/Documents/DSCM/Y3SEM2/E211 Operations Planning II/E211 Updated/excels/"/>
    </mc:Choice>
  </mc:AlternateContent>
  <xr:revisionPtr revIDLastSave="175" documentId="8_{B06FEE08-A95B-4560-A617-629D655B176F}" xr6:coauthVersionLast="47" xr6:coauthVersionMax="47" xr10:uidLastSave="{FB1AD0E0-D6CE-451D-836C-7C7D560107D8}"/>
  <bookViews>
    <workbookView xWindow="-110" yWindow="-110" windowWidth="19420" windowHeight="10300" xr2:uid="{00000000-000D-0000-FFFF-FFFF00000000}"/>
  </bookViews>
  <sheets>
    <sheet name="MM1" sheetId="26" r:id="rId1"/>
    <sheet name="MG1" sheetId="27" r:id="rId2"/>
    <sheet name="MD1" sheetId="28" r:id="rId3"/>
    <sheet name="MMk" sheetId="30" r:id="rId4"/>
    <sheet name="MMk (L4 WS PS (IKEA) Part 1)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6" l="1"/>
  <c r="H4" i="30"/>
  <c r="H5" i="30"/>
  <c r="H3" i="30"/>
  <c r="D26" i="30"/>
  <c r="H27" i="31"/>
  <c r="B25" i="31"/>
  <c r="H21" i="31"/>
  <c r="C8" i="31"/>
  <c r="C6" i="31"/>
  <c r="H20" i="31" s="1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10" i="30"/>
  <c r="G11" i="30"/>
  <c r="G12" i="30"/>
  <c r="G13" i="30"/>
  <c r="G14" i="30"/>
  <c r="G15" i="30"/>
  <c r="G16" i="30"/>
  <c r="G17" i="30"/>
  <c r="G18" i="30"/>
  <c r="G9" i="30"/>
  <c r="D30" i="30"/>
  <c r="D34" i="30"/>
  <c r="C13" i="30"/>
  <c r="C9" i="30"/>
  <c r="C7" i="30"/>
  <c r="B21" i="28"/>
  <c r="B19" i="28"/>
  <c r="B17" i="28"/>
  <c r="B15" i="28"/>
  <c r="B23" i="27"/>
  <c r="B21" i="27"/>
  <c r="B19" i="27"/>
  <c r="B17" i="27"/>
  <c r="B21" i="26"/>
  <c r="B19" i="26"/>
  <c r="B17" i="26"/>
  <c r="B15" i="26"/>
  <c r="B13" i="28"/>
  <c r="B11" i="28"/>
  <c r="B15" i="27"/>
  <c r="B13" i="26"/>
  <c r="B9" i="28"/>
  <c r="B7" i="28"/>
  <c r="B13" i="27"/>
  <c r="B9" i="27"/>
  <c r="B7" i="27"/>
  <c r="B9" i="26"/>
  <c r="B7" i="26"/>
  <c r="D7" i="28"/>
  <c r="D9" i="26"/>
  <c r="D7" i="26"/>
  <c r="D7" i="27"/>
  <c r="D9" i="28"/>
  <c r="D9" i="27"/>
  <c r="H24" i="31" l="1"/>
  <c r="H28" i="31"/>
  <c r="D33" i="31"/>
  <c r="H31" i="31"/>
  <c r="H10" i="31"/>
  <c r="H11" i="31"/>
  <c r="H13" i="31"/>
  <c r="H14" i="31"/>
  <c r="H17" i="31"/>
  <c r="H32" i="31"/>
  <c r="H18" i="31"/>
  <c r="H15" i="31"/>
  <c r="D29" i="31"/>
  <c r="H33" i="31"/>
  <c r="H25" i="31"/>
  <c r="H8" i="31"/>
  <c r="H29" i="31"/>
  <c r="C12" i="31"/>
  <c r="H22" i="31"/>
  <c r="H12" i="31"/>
  <c r="H19" i="31"/>
  <c r="H26" i="31"/>
  <c r="H9" i="31"/>
  <c r="H16" i="31"/>
  <c r="H23" i="31"/>
  <c r="H30" i="31"/>
  <c r="C15" i="30"/>
  <c r="I9" i="30" l="1"/>
  <c r="I18" i="30"/>
  <c r="I27" i="30"/>
  <c r="I19" i="30"/>
  <c r="I20" i="30"/>
  <c r="I21" i="30"/>
  <c r="I10" i="30"/>
  <c r="I11" i="30"/>
  <c r="I12" i="30"/>
  <c r="I13" i="30"/>
  <c r="I14" i="30"/>
  <c r="I16" i="30"/>
  <c r="I28" i="30"/>
  <c r="H15" i="30"/>
  <c r="H27" i="30"/>
  <c r="I15" i="30"/>
  <c r="H14" i="30"/>
  <c r="H26" i="30"/>
  <c r="I17" i="30"/>
  <c r="I29" i="30"/>
  <c r="H16" i="30"/>
  <c r="H28" i="30"/>
  <c r="I30" i="30"/>
  <c r="H17" i="30"/>
  <c r="H29" i="30"/>
  <c r="I31" i="30"/>
  <c r="H18" i="30"/>
  <c r="H30" i="30"/>
  <c r="I32" i="30"/>
  <c r="H19" i="30"/>
  <c r="H31" i="30"/>
  <c r="I33" i="30"/>
  <c r="H20" i="30"/>
  <c r="H32" i="30"/>
  <c r="I22" i="30"/>
  <c r="I34" i="30"/>
  <c r="H21" i="30"/>
  <c r="H33" i="30"/>
  <c r="I23" i="30"/>
  <c r="H10" i="30"/>
  <c r="H22" i="30"/>
  <c r="H34" i="30"/>
  <c r="I24" i="30"/>
  <c r="H11" i="30"/>
  <c r="H23" i="30"/>
  <c r="I25" i="30"/>
  <c r="H12" i="30"/>
  <c r="H24" i="30"/>
  <c r="I26" i="30"/>
  <c r="H13" i="30"/>
  <c r="H25" i="30"/>
  <c r="D25" i="31"/>
  <c r="C14" i="31" s="1"/>
  <c r="I32" i="31" s="1"/>
  <c r="H9" i="30"/>
  <c r="C17" i="30"/>
  <c r="I25" i="31" l="1"/>
  <c r="I19" i="31"/>
  <c r="I33" i="31"/>
  <c r="C16" i="31"/>
  <c r="J31" i="31"/>
  <c r="J23" i="31"/>
  <c r="J16" i="31"/>
  <c r="J9" i="31"/>
  <c r="J26" i="31"/>
  <c r="J24" i="31"/>
  <c r="J17" i="31"/>
  <c r="J10" i="31"/>
  <c r="J27" i="31"/>
  <c r="J20" i="31"/>
  <c r="J30" i="31"/>
  <c r="J13" i="31"/>
  <c r="I10" i="31"/>
  <c r="J14" i="31"/>
  <c r="J32" i="31"/>
  <c r="I11" i="31"/>
  <c r="J21" i="31"/>
  <c r="J12" i="31"/>
  <c r="I13" i="31"/>
  <c r="J28" i="31"/>
  <c r="J18" i="31"/>
  <c r="J15" i="31"/>
  <c r="I31" i="31"/>
  <c r="J11" i="31"/>
  <c r="J29" i="31"/>
  <c r="I14" i="31"/>
  <c r="J19" i="31"/>
  <c r="I20" i="31"/>
  <c r="I21" i="31"/>
  <c r="I24" i="31"/>
  <c r="J25" i="31"/>
  <c r="I17" i="31"/>
  <c r="I27" i="31"/>
  <c r="J8" i="31"/>
  <c r="J33" i="31"/>
  <c r="J22" i="31"/>
  <c r="I28" i="31"/>
  <c r="I8" i="31"/>
  <c r="I22" i="31"/>
  <c r="I18" i="31"/>
  <c r="I12" i="31"/>
  <c r="I9" i="31"/>
  <c r="I15" i="31"/>
  <c r="I16" i="31"/>
  <c r="I23" i="31"/>
  <c r="I29" i="31"/>
  <c r="I30" i="31"/>
  <c r="I26" i="31"/>
  <c r="C19" i="30"/>
  <c r="C21" i="30"/>
  <c r="C23" i="30" s="1"/>
  <c r="I2" i="31" l="1"/>
  <c r="H2" i="31"/>
  <c r="C20" i="31"/>
  <c r="C22" i="31" s="1"/>
  <c r="C18" i="31"/>
  <c r="B26" i="30"/>
  <c r="C56" i="28"/>
  <c r="B56" i="28"/>
  <c r="C55" i="28"/>
  <c r="B55" i="28"/>
  <c r="C54" i="28"/>
  <c r="B54" i="28"/>
  <c r="C53" i="28"/>
  <c r="B53" i="28"/>
  <c r="B50" i="28"/>
  <c r="C50" i="28" s="1"/>
  <c r="B49" i="28"/>
  <c r="B52" i="28" s="1"/>
  <c r="C58" i="27"/>
  <c r="B58" i="27"/>
  <c r="C57" i="27"/>
  <c r="B57" i="27"/>
  <c r="C56" i="27"/>
  <c r="B56" i="27"/>
  <c r="C55" i="27"/>
  <c r="B55" i="27"/>
  <c r="B52" i="27"/>
  <c r="C52" i="27" s="1"/>
  <c r="B51" i="27"/>
  <c r="C56" i="26"/>
  <c r="B56" i="26"/>
  <c r="C55" i="26"/>
  <c r="B55" i="26"/>
  <c r="C54" i="26"/>
  <c r="B54" i="26"/>
  <c r="C53" i="26"/>
  <c r="B53" i="26"/>
  <c r="B50" i="26"/>
  <c r="C50" i="26" s="1"/>
  <c r="B49" i="26"/>
  <c r="C49" i="28" l="1"/>
  <c r="C52" i="28"/>
  <c r="B54" i="27"/>
  <c r="B52" i="26"/>
  <c r="C49" i="26"/>
  <c r="C52" i="26" s="1"/>
  <c r="C51" i="27"/>
  <c r="C54" i="27" s="1"/>
</calcChain>
</file>

<file path=xl/sharedStrings.xml><?xml version="1.0" encoding="utf-8"?>
<sst xmlns="http://schemas.openxmlformats.org/spreadsheetml/2006/main" count="147" uniqueCount="60">
  <si>
    <t>per minute</t>
  </si>
  <si>
    <t>Average number in queue, Lq</t>
  </si>
  <si>
    <t>Average number in system, Ls</t>
  </si>
  <si>
    <t>Average time in system, Ws</t>
  </si>
  <si>
    <t>Prob (no customers)</t>
  </si>
  <si>
    <t>No. of customers in queue</t>
  </si>
  <si>
    <t>Lq</t>
  </si>
  <si>
    <t>No. of customers in system</t>
  </si>
  <si>
    <t>Waiting time in queue</t>
  </si>
  <si>
    <t>Wq</t>
  </si>
  <si>
    <t>Time in system</t>
  </si>
  <si>
    <t>k</t>
  </si>
  <si>
    <t>ρ</t>
  </si>
  <si>
    <t>Ls</t>
  </si>
  <si>
    <t>Ws</t>
  </si>
  <si>
    <t>Average time in queue, Wq</t>
  </si>
  <si>
    <t>M/M/1</t>
  </si>
  <si>
    <t>M/G/1</t>
  </si>
  <si>
    <t>M/D/1</t>
  </si>
  <si>
    <t xml:space="preserve"> </t>
  </si>
  <si>
    <t>minutes</t>
  </si>
  <si>
    <t>Utilisation</t>
  </si>
  <si>
    <t>No. of servers</t>
  </si>
  <si>
    <t>μ</t>
  </si>
  <si>
    <t>Service rate</t>
  </si>
  <si>
    <t>Arrival rate</t>
  </si>
  <si>
    <t>λ</t>
  </si>
  <si>
    <t>Queuing Model</t>
  </si>
  <si>
    <t xml:space="preserve">M/M/1 </t>
  </si>
  <si>
    <t>Average Arrival Rate</t>
  </si>
  <si>
    <t>Average Service Rate</t>
  </si>
  <si>
    <t>Queue Length, Lq</t>
  </si>
  <si>
    <t>Number in System, Ls</t>
  </si>
  <si>
    <t>Queuing Time, Wq</t>
  </si>
  <si>
    <t>Time in System, Ws</t>
  </si>
  <si>
    <t>Standard Deviation of Service Times</t>
  </si>
  <si>
    <t>Utilization</t>
  </si>
  <si>
    <t>minute</t>
  </si>
  <si>
    <r>
      <t xml:space="preserve">Arrival Rate, </t>
    </r>
    <r>
      <rPr>
        <sz val="12"/>
        <color theme="1"/>
        <rFont val="Calibri"/>
        <family val="2"/>
      </rPr>
      <t>λ</t>
    </r>
  </si>
  <si>
    <r>
      <t xml:space="preserve">Service Rate, </t>
    </r>
    <r>
      <rPr>
        <sz val="12"/>
        <color theme="1"/>
        <rFont val="Calibri"/>
        <family val="2"/>
      </rPr>
      <t>μ</t>
    </r>
  </si>
  <si>
    <r>
      <t xml:space="preserve">System Utilization, </t>
    </r>
    <r>
      <rPr>
        <sz val="12"/>
        <color theme="1"/>
        <rFont val="Calibri"/>
        <family val="2"/>
      </rPr>
      <t>ρ</t>
    </r>
  </si>
  <si>
    <r>
      <t>Probability of no customers, P</t>
    </r>
    <r>
      <rPr>
        <vertAlign val="subscript"/>
        <sz val="12"/>
        <color theme="1"/>
        <rFont val="Calibri"/>
        <family val="2"/>
        <scheme val="minor"/>
      </rPr>
      <t>0</t>
    </r>
  </si>
  <si>
    <t>M/M/k</t>
  </si>
  <si>
    <r>
      <t>P</t>
    </r>
    <r>
      <rPr>
        <vertAlign val="subscript"/>
        <sz val="14"/>
        <rFont val="Arial"/>
        <family val="2"/>
      </rPr>
      <t>0</t>
    </r>
  </si>
  <si>
    <t>Probability of n customers in system, Pn</t>
  </si>
  <si>
    <t>No. of customers in system, n</t>
  </si>
  <si>
    <t>k - 1 =</t>
  </si>
  <si>
    <t>Assume service times are exponentially distributed.</t>
  </si>
  <si>
    <r>
      <t xml:space="preserve">Standard deviation of service times, </t>
    </r>
    <r>
      <rPr>
        <sz val="12"/>
        <color theme="1"/>
        <rFont val="Calibri"/>
        <family val="2"/>
      </rPr>
      <t xml:space="preserve">σ </t>
    </r>
  </si>
  <si>
    <t>Assume service times follow a general distribution and std dev of 0.5 min.</t>
  </si>
  <si>
    <t>Assume service times are constant.</t>
  </si>
  <si>
    <t>Problem Statement:</t>
  </si>
  <si>
    <t>Probability 
(At least 1 self-checkout machine):</t>
  </si>
  <si>
    <t>Probability 
(At least 2 customers in the queue):</t>
  </si>
  <si>
    <t>Arrival rate = 150 customers per hour</t>
  </si>
  <si>
    <t>Mean checkout time = 2.5 minutes</t>
  </si>
  <si>
    <t>Shift the H column according to k value</t>
  </si>
  <si>
    <t>Length # of people</t>
  </si>
  <si>
    <t>Waiting time</t>
  </si>
  <si>
    <t>No of people in a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</si>
</sst>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vertAlign val="subscript"/>
      <sz val="14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0" xfId="0" applyFont="1"/>
    <xf numFmtId="0" fontId="5" fillId="0" borderId="10" xfId="0" applyFont="1" applyBorder="1"/>
    <xf numFmtId="164" fontId="5" fillId="0" borderId="0" xfId="0" applyNumberFormat="1" applyFont="1"/>
    <xf numFmtId="164" fontId="5" fillId="0" borderId="1" xfId="0" applyNumberFormat="1" applyFont="1" applyBorder="1"/>
    <xf numFmtId="0" fontId="0" fillId="0" borderId="13" xfId="0" applyBorder="1"/>
    <xf numFmtId="0" fontId="9" fillId="0" borderId="0" xfId="0" applyFont="1"/>
    <xf numFmtId="0" fontId="10" fillId="0" borderId="0" xfId="0" applyFont="1"/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right"/>
    </xf>
    <xf numFmtId="0" fontId="11" fillId="3" borderId="0" xfId="0" applyFont="1" applyFill="1"/>
    <xf numFmtId="165" fontId="11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165" fontId="11" fillId="3" borderId="4" xfId="0" applyNumberFormat="1" applyFont="1" applyFill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11" fontId="11" fillId="3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 applyAlignment="1">
      <alignment vertical="center" wrapText="1"/>
    </xf>
    <xf numFmtId="164" fontId="0" fillId="0" borderId="2" xfId="0" applyNumberFormat="1" applyBorder="1"/>
    <xf numFmtId="0" fontId="14" fillId="0" borderId="0" xfId="0" applyFont="1"/>
    <xf numFmtId="164" fontId="0" fillId="0" borderId="3" xfId="0" applyNumberFormat="1" applyBorder="1"/>
    <xf numFmtId="164" fontId="0" fillId="0" borderId="3" xfId="0" applyNumberForma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5" fillId="0" borderId="1" xfId="0" applyFont="1" applyBorder="1"/>
    <xf numFmtId="164" fontId="5" fillId="2" borderId="1" xfId="0" applyNumberFormat="1" applyFont="1" applyFill="1" applyBorder="1"/>
    <xf numFmtId="0" fontId="15" fillId="0" borderId="0" xfId="0" applyFont="1"/>
    <xf numFmtId="0" fontId="0" fillId="0" borderId="1" xfId="0" applyBorder="1" applyAlignment="1">
      <alignment wrapText="1"/>
    </xf>
    <xf numFmtId="0" fontId="16" fillId="0" borderId="0" xfId="0" applyFont="1"/>
    <xf numFmtId="0" fontId="17" fillId="4" borderId="1" xfId="0" applyFont="1" applyFill="1" applyBorder="1" applyAlignment="1">
      <alignment horizontal="center"/>
    </xf>
    <xf numFmtId="166" fontId="11" fillId="2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2" fontId="12" fillId="0" borderId="0" xfId="0" applyNumberFormat="1" applyFont="1" applyAlignment="1">
      <alignment horizontal="center"/>
    </xf>
    <xf numFmtId="2" fontId="11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2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9" fillId="2" borderId="2" xfId="0" applyNumberFormat="1" applyFont="1" applyFill="1" applyBorder="1" applyAlignment="1">
      <alignment horizontal="center" vertical="center" wrapText="1"/>
    </xf>
    <xf numFmtId="2" fontId="9" fillId="2" borderId="3" xfId="0" applyNumberFormat="1" applyFont="1" applyFill="1" applyBorder="1" applyAlignment="1">
      <alignment horizontal="center" vertical="center" wrapText="1"/>
    </xf>
    <xf numFmtId="2" fontId="9" fillId="2" borderId="4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A6814F74-1EC7-4CF7-8B93-3228FC54D71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79AA4CD-6BF2-43CF-B276-3D29B742D76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520788</xdr:colOff>
      <xdr:row>13</xdr:row>
      <xdr:rowOff>82512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05201-7CA5-4A3B-93E3-C88BE47A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0550" y="207652"/>
          <a:ext cx="4178389" cy="24148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604549</xdr:colOff>
      <xdr:row>14</xdr:row>
      <xdr:rowOff>34636</xdr:rowOff>
    </xdr:from>
    <xdr:to>
      <xdr:col>11</xdr:col>
      <xdr:colOff>526358</xdr:colOff>
      <xdr:row>29</xdr:row>
      <xdr:rowOff>28101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1DDAE6-A482-4C02-86E8-F5865014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7231" y="2770909"/>
          <a:ext cx="4205173" cy="285096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BC68A-7DE3-4D6F-860C-861F43FB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502727" cy="345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520789</xdr:colOff>
      <xdr:row>13</xdr:row>
      <xdr:rowOff>111376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930C0-60E7-4854-A699-C02AFF03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0550" y="207652"/>
          <a:ext cx="4178389" cy="24183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603834</xdr:colOff>
      <xdr:row>13</xdr:row>
      <xdr:rowOff>164471</xdr:rowOff>
    </xdr:from>
    <xdr:to>
      <xdr:col>11</xdr:col>
      <xdr:colOff>508000</xdr:colOff>
      <xdr:row>29</xdr:row>
      <xdr:rowOff>130817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121C1-3C3F-4F33-B85B-B3A5C902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4784" y="2679071"/>
          <a:ext cx="4171366" cy="30703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269B8F-2475-ADBB-3E5F-3F1F329B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502727" cy="345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520789</xdr:colOff>
      <xdr:row>13</xdr:row>
      <xdr:rowOff>82512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7DD7E-542C-4178-8654-AC7D9AE26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0550" y="207652"/>
          <a:ext cx="4178389" cy="24148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3817</xdr:colOff>
      <xdr:row>13</xdr:row>
      <xdr:rowOff>184727</xdr:rowOff>
    </xdr:from>
    <xdr:to>
      <xdr:col>11</xdr:col>
      <xdr:colOff>524224</xdr:colOff>
      <xdr:row>29</xdr:row>
      <xdr:rowOff>37918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64681-78E3-4AA0-9600-2FA419FF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4367" y="2724727"/>
          <a:ext cx="4178007" cy="29075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9B257E-BC23-4090-B907-2A720654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502727" cy="345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25</xdr:row>
      <xdr:rowOff>28575</xdr:rowOff>
    </xdr:from>
    <xdr:to>
      <xdr:col>2</xdr:col>
      <xdr:colOff>1066676</xdr:colOff>
      <xdr:row>27</xdr:row>
      <xdr:rowOff>140343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BA092-C85B-4A6B-9AD0-127CAD11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4498975"/>
          <a:ext cx="990476" cy="543567"/>
        </a:xfrm>
        <a:prstGeom prst="rect">
          <a:avLst/>
        </a:prstGeom>
      </xdr:spPr>
    </xdr:pic>
    <xdr:clientData/>
  </xdr:twoCellAnchor>
  <xdr:twoCellAnchor editAs="oneCell">
    <xdr:from>
      <xdr:col>6</xdr:col>
      <xdr:colOff>183363</xdr:colOff>
      <xdr:row>5</xdr:row>
      <xdr:rowOff>85690</xdr:rowOff>
    </xdr:from>
    <xdr:to>
      <xdr:col>6</xdr:col>
      <xdr:colOff>913258</xdr:colOff>
      <xdr:row>7</xdr:row>
      <xdr:rowOff>201199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283F77-3E67-4C48-ABF9-08A93034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5329" y="1027488"/>
          <a:ext cx="729895" cy="57213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29</xdr:row>
      <xdr:rowOff>38100</xdr:rowOff>
    </xdr:from>
    <xdr:to>
      <xdr:col>2</xdr:col>
      <xdr:colOff>904798</xdr:colOff>
      <xdr:row>31</xdr:row>
      <xdr:rowOff>69076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DD797-FFE5-4679-A451-E575C25FD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5334000"/>
          <a:ext cx="619048" cy="462776"/>
        </a:xfrm>
        <a:prstGeom prst="rect">
          <a:avLst/>
        </a:prstGeom>
      </xdr:spPr>
    </xdr:pic>
    <xdr:clientData/>
  </xdr:twoCellAnchor>
  <xdr:twoCellAnchor editAs="oneCell">
    <xdr:from>
      <xdr:col>2</xdr:col>
      <xdr:colOff>239713</xdr:colOff>
      <xdr:row>33</xdr:row>
      <xdr:rowOff>84138</xdr:rowOff>
    </xdr:from>
    <xdr:to>
      <xdr:col>2</xdr:col>
      <xdr:colOff>1030189</xdr:colOff>
      <xdr:row>35</xdr:row>
      <xdr:rowOff>138909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1117F-030A-4066-A21F-F47FF1D2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9463" y="7156451"/>
          <a:ext cx="790476" cy="475458"/>
        </a:xfrm>
        <a:prstGeom prst="rect">
          <a:avLst/>
        </a:prstGeom>
      </xdr:spPr>
    </xdr:pic>
    <xdr:clientData/>
  </xdr:twoCellAnchor>
  <xdr:twoCellAnchor editAs="oneCell">
    <xdr:from>
      <xdr:col>9</xdr:col>
      <xdr:colOff>164101</xdr:colOff>
      <xdr:row>5</xdr:row>
      <xdr:rowOff>35674</xdr:rowOff>
    </xdr:from>
    <xdr:to>
      <xdr:col>18</xdr:col>
      <xdr:colOff>4253</xdr:colOff>
      <xdr:row>25</xdr:row>
      <xdr:rowOff>92547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A5E785-37FF-4F27-A9FC-3B8E59CD8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1180" y="35674"/>
          <a:ext cx="5298298" cy="45734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48993</xdr:colOff>
      <xdr:row>6</xdr:row>
      <xdr:rowOff>73131</xdr:rowOff>
    </xdr:from>
    <xdr:to>
      <xdr:col>8</xdr:col>
      <xdr:colOff>1264928</xdr:colOff>
      <xdr:row>7</xdr:row>
      <xdr:rowOff>209954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543508-EC56-4E9A-81F1-5922FA47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45117" y="1250378"/>
          <a:ext cx="1215935" cy="358003"/>
        </a:xfrm>
        <a:prstGeom prst="rect">
          <a:avLst/>
        </a:prstGeom>
      </xdr:spPr>
    </xdr:pic>
    <xdr:clientData/>
  </xdr:twoCellAnchor>
  <xdr:twoCellAnchor editAs="oneCell">
    <xdr:from>
      <xdr:col>7</xdr:col>
      <xdr:colOff>52442</xdr:colOff>
      <xdr:row>6</xdr:row>
      <xdr:rowOff>72892</xdr:rowOff>
    </xdr:from>
    <xdr:to>
      <xdr:col>7</xdr:col>
      <xdr:colOff>1547734</xdr:colOff>
      <xdr:row>7</xdr:row>
      <xdr:rowOff>175944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B50BC0A-65F1-420D-89E8-0075AEBD7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3172" y="1250139"/>
          <a:ext cx="1495292" cy="32423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23813</xdr:rowOff>
    </xdr:from>
    <xdr:to>
      <xdr:col>4</xdr:col>
      <xdr:colOff>268093</xdr:colOff>
      <xdr:row>3</xdr:row>
      <xdr:rowOff>111125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306D95-B187-ED3A-7E02-803497FCE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25" y="23813"/>
          <a:ext cx="6333724" cy="63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24</xdr:row>
      <xdr:rowOff>28575</xdr:rowOff>
    </xdr:from>
    <xdr:to>
      <xdr:col>2</xdr:col>
      <xdr:colOff>1066676</xdr:colOff>
      <xdr:row>26</xdr:row>
      <xdr:rowOff>104568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E5277-E578-45D7-B4A5-0C43D278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100" y="6156325"/>
          <a:ext cx="990476" cy="543567"/>
        </a:xfrm>
        <a:prstGeom prst="rect">
          <a:avLst/>
        </a:prstGeom>
      </xdr:spPr>
    </xdr:pic>
    <xdr:clientData/>
  </xdr:twoCellAnchor>
  <xdr:twoCellAnchor editAs="oneCell">
    <xdr:from>
      <xdr:col>7</xdr:col>
      <xdr:colOff>183363</xdr:colOff>
      <xdr:row>4</xdr:row>
      <xdr:rowOff>85690</xdr:rowOff>
    </xdr:from>
    <xdr:to>
      <xdr:col>7</xdr:col>
      <xdr:colOff>913258</xdr:colOff>
      <xdr:row>6</xdr:row>
      <xdr:rowOff>201199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A2767-3D60-492B-8815-C3865E18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3963" y="1641440"/>
          <a:ext cx="729895" cy="57270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28</xdr:row>
      <xdr:rowOff>38100</xdr:rowOff>
    </xdr:from>
    <xdr:to>
      <xdr:col>2</xdr:col>
      <xdr:colOff>904798</xdr:colOff>
      <xdr:row>30</xdr:row>
      <xdr:rowOff>33302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BFE117-FD82-4896-B5C7-6CE689084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9650" y="6991350"/>
          <a:ext cx="619048" cy="462777"/>
        </a:xfrm>
        <a:prstGeom prst="rect">
          <a:avLst/>
        </a:prstGeom>
      </xdr:spPr>
    </xdr:pic>
    <xdr:clientData/>
  </xdr:twoCellAnchor>
  <xdr:twoCellAnchor editAs="oneCell">
    <xdr:from>
      <xdr:col>2</xdr:col>
      <xdr:colOff>239713</xdr:colOff>
      <xdr:row>32</xdr:row>
      <xdr:rowOff>84138</xdr:rowOff>
    </xdr:from>
    <xdr:to>
      <xdr:col>2</xdr:col>
      <xdr:colOff>1030189</xdr:colOff>
      <xdr:row>34</xdr:row>
      <xdr:rowOff>138909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73212B-D89A-4702-85F9-F7D2C944C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3613" y="7862888"/>
          <a:ext cx="790476" cy="473871"/>
        </a:xfrm>
        <a:prstGeom prst="rect">
          <a:avLst/>
        </a:prstGeom>
      </xdr:spPr>
    </xdr:pic>
    <xdr:clientData/>
  </xdr:twoCellAnchor>
  <xdr:twoCellAnchor editAs="oneCell">
    <xdr:from>
      <xdr:col>10</xdr:col>
      <xdr:colOff>164101</xdr:colOff>
      <xdr:row>4</xdr:row>
      <xdr:rowOff>35674</xdr:rowOff>
    </xdr:from>
    <xdr:to>
      <xdr:col>19</xdr:col>
      <xdr:colOff>4253</xdr:colOff>
      <xdr:row>24</xdr:row>
      <xdr:rowOff>53294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FC7C8E-C725-47A2-8755-88BE2B5C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7301" y="1591424"/>
          <a:ext cx="5326552" cy="45896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48993</xdr:colOff>
      <xdr:row>5</xdr:row>
      <xdr:rowOff>73131</xdr:rowOff>
    </xdr:from>
    <xdr:to>
      <xdr:col>9</xdr:col>
      <xdr:colOff>1264928</xdr:colOff>
      <xdr:row>6</xdr:row>
      <xdr:rowOff>209954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8BA5A7-B297-4EE0-8337-E4F5D184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2493" y="1863831"/>
          <a:ext cx="1215935" cy="359073"/>
        </a:xfrm>
        <a:prstGeom prst="rect">
          <a:avLst/>
        </a:prstGeom>
      </xdr:spPr>
    </xdr:pic>
    <xdr:clientData/>
  </xdr:twoCellAnchor>
  <xdr:twoCellAnchor editAs="oneCell">
    <xdr:from>
      <xdr:col>8</xdr:col>
      <xdr:colOff>52442</xdr:colOff>
      <xdr:row>5</xdr:row>
      <xdr:rowOff>72892</xdr:rowOff>
    </xdr:from>
    <xdr:to>
      <xdr:col>8</xdr:col>
      <xdr:colOff>1549559</xdr:colOff>
      <xdr:row>6</xdr:row>
      <xdr:rowOff>175944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47F97D-9615-4DC0-A445-D16ABD70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50442" y="1863592"/>
          <a:ext cx="1497117" cy="325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D32C-ACE9-4A4F-B073-89DA1054F4A7}">
  <dimension ref="A3:D59"/>
  <sheetViews>
    <sheetView showGridLines="0" tabSelected="1" zoomScale="78" zoomScaleNormal="100" workbookViewId="0">
      <selection activeCell="D7" sqref="D7:D9"/>
    </sheetView>
  </sheetViews>
  <sheetFormatPr defaultRowHeight="14.5" x14ac:dyDescent="0.35"/>
  <cols>
    <col min="1" max="1" width="35.6328125" customWidth="1"/>
    <col min="2" max="2" width="12.90625" customWidth="1"/>
    <col min="3" max="3" width="12.453125" customWidth="1"/>
    <col min="4" max="4" width="21.08984375" customWidth="1"/>
  </cols>
  <sheetData>
    <row r="3" spans="1:4" x14ac:dyDescent="0.35">
      <c r="A3" s="37" t="s">
        <v>47</v>
      </c>
    </row>
    <row r="4" spans="1:4" ht="15" thickBot="1" x14ac:dyDescent="0.4"/>
    <row r="5" spans="1:4" ht="15.5" x14ac:dyDescent="0.35">
      <c r="A5" s="10" t="s">
        <v>16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40</v>
      </c>
      <c r="B11" s="17">
        <f>B7/B9</f>
        <v>0.84000000000000008</v>
      </c>
      <c r="C11" s="15"/>
    </row>
    <row r="12" spans="1:4" ht="15.5" x14ac:dyDescent="0.35">
      <c r="A12" s="13"/>
      <c r="B12" s="14"/>
      <c r="C12" s="15"/>
    </row>
    <row r="13" spans="1:4" ht="17.5" x14ac:dyDescent="0.45">
      <c r="A13" s="13" t="s">
        <v>41</v>
      </c>
      <c r="B13" s="17">
        <f>1-B11</f>
        <v>0.15999999999999992</v>
      </c>
      <c r="C13" s="15"/>
    </row>
    <row r="14" spans="1:4" ht="15.5" x14ac:dyDescent="0.35">
      <c r="A14" s="13"/>
      <c r="B14" s="16"/>
      <c r="C14" s="15"/>
    </row>
    <row r="15" spans="1:4" ht="15.5" x14ac:dyDescent="0.35">
      <c r="A15" s="13" t="s">
        <v>1</v>
      </c>
      <c r="B15" s="17">
        <f>B11^2/(1-B11)</f>
        <v>4.4100000000000028</v>
      </c>
      <c r="C15" s="15"/>
      <c r="D15" t="s">
        <v>57</v>
      </c>
    </row>
    <row r="16" spans="1:4" ht="15.5" x14ac:dyDescent="0.35">
      <c r="A16" s="13"/>
      <c r="B16" s="16"/>
      <c r="C16" s="15"/>
    </row>
    <row r="17" spans="1:4" ht="15.5" x14ac:dyDescent="0.35">
      <c r="A17" s="13" t="s">
        <v>15</v>
      </c>
      <c r="B17" s="17">
        <f>B15/B7</f>
        <v>4.2000000000000028</v>
      </c>
      <c r="C17" s="15" t="s">
        <v>20</v>
      </c>
      <c r="D17" t="s">
        <v>58</v>
      </c>
    </row>
    <row r="18" spans="1:4" ht="15.5" x14ac:dyDescent="0.35">
      <c r="A18" s="13"/>
      <c r="B18" s="16"/>
      <c r="C18" s="15"/>
    </row>
    <row r="19" spans="1:4" ht="15.5" x14ac:dyDescent="0.35">
      <c r="A19" s="13" t="s">
        <v>2</v>
      </c>
      <c r="B19" s="17">
        <f>B15+(B7/B9)</f>
        <v>5.2500000000000027</v>
      </c>
      <c r="C19" s="15"/>
      <c r="D19" t="s">
        <v>59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3</v>
      </c>
      <c r="B21" s="17">
        <f>B17+1/B9</f>
        <v>5.0000000000000027</v>
      </c>
      <c r="C21" s="15" t="s">
        <v>20</v>
      </c>
    </row>
    <row r="22" spans="1:4" ht="15" thickBot="1" x14ac:dyDescent="0.4">
      <c r="A22" s="8"/>
      <c r="B22" s="18"/>
      <c r="C22" s="9"/>
    </row>
    <row r="48" spans="1:4" x14ac:dyDescent="0.35">
      <c r="A48" t="s">
        <v>27</v>
      </c>
      <c r="B48" s="4" t="s">
        <v>28</v>
      </c>
      <c r="C48" s="4" t="s">
        <v>17</v>
      </c>
      <c r="D48" s="4"/>
    </row>
    <row r="49" spans="1:4" x14ac:dyDescent="0.35">
      <c r="A49" t="s">
        <v>29</v>
      </c>
      <c r="B49" s="5">
        <f>B7</f>
        <v>1.05</v>
      </c>
      <c r="C49" s="5">
        <f>B49</f>
        <v>1.05</v>
      </c>
      <c r="D49" s="5"/>
    </row>
    <row r="50" spans="1:4" x14ac:dyDescent="0.35">
      <c r="A50" t="s">
        <v>30</v>
      </c>
      <c r="B50" s="5">
        <f>B9</f>
        <v>1.25</v>
      </c>
      <c r="C50" s="5">
        <f>B50</f>
        <v>1.25</v>
      </c>
      <c r="D50" s="5"/>
    </row>
    <row r="51" spans="1:4" x14ac:dyDescent="0.35">
      <c r="A51" t="s">
        <v>35</v>
      </c>
      <c r="B51" s="6">
        <v>2</v>
      </c>
      <c r="C51" s="6">
        <v>1</v>
      </c>
      <c r="D51" s="6"/>
    </row>
    <row r="52" spans="1:4" x14ac:dyDescent="0.35">
      <c r="A52" t="s">
        <v>36</v>
      </c>
      <c r="B52" s="5">
        <f>B49/B50</f>
        <v>0.84000000000000008</v>
      </c>
      <c r="C52" s="5">
        <f>C49/C50</f>
        <v>0.84000000000000008</v>
      </c>
      <c r="D52" s="5"/>
    </row>
    <row r="53" spans="1:4" x14ac:dyDescent="0.35">
      <c r="A53" t="s">
        <v>31</v>
      </c>
      <c r="B53" s="5">
        <f>B15</f>
        <v>4.4100000000000028</v>
      </c>
      <c r="C53" s="5" t="e">
        <f>#REF!</f>
        <v>#REF!</v>
      </c>
      <c r="D53" s="5"/>
    </row>
    <row r="54" spans="1:4" x14ac:dyDescent="0.35">
      <c r="A54" t="s">
        <v>32</v>
      </c>
      <c r="B54" s="5">
        <f>B19</f>
        <v>5.2500000000000027</v>
      </c>
      <c r="C54" s="5" t="e">
        <f>#REF!</f>
        <v>#REF!</v>
      </c>
      <c r="D54" s="5"/>
    </row>
    <row r="55" spans="1:4" x14ac:dyDescent="0.35">
      <c r="A55" t="s">
        <v>33</v>
      </c>
      <c r="B55" s="5">
        <f>B17</f>
        <v>4.2000000000000028</v>
      </c>
      <c r="C55" s="5" t="e">
        <f>#REF!</f>
        <v>#REF!</v>
      </c>
      <c r="D55" s="5"/>
    </row>
    <row r="56" spans="1:4" x14ac:dyDescent="0.35">
      <c r="A56" t="s">
        <v>34</v>
      </c>
      <c r="B56" s="5">
        <f>B21</f>
        <v>5.0000000000000027</v>
      </c>
      <c r="C56" s="5" t="e">
        <f>#REF!</f>
        <v>#REF!</v>
      </c>
      <c r="D56" s="5"/>
    </row>
    <row r="59" spans="1:4" x14ac:dyDescent="0.35">
      <c r="B59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5B41-2E34-4400-B194-D827AEAA01C8}">
  <dimension ref="A3:D61"/>
  <sheetViews>
    <sheetView showGridLines="0" zoomScale="67" zoomScaleNormal="100" workbookViewId="0">
      <selection activeCell="D7" sqref="D7:D9"/>
    </sheetView>
  </sheetViews>
  <sheetFormatPr defaultRowHeight="14.5" x14ac:dyDescent="0.35"/>
  <cols>
    <col min="1" max="1" width="35.6328125" customWidth="1"/>
    <col min="2" max="2" width="12.90625" customWidth="1"/>
    <col min="3" max="3" width="12.453125" customWidth="1"/>
    <col min="4" max="4" width="22.36328125" customWidth="1"/>
  </cols>
  <sheetData>
    <row r="3" spans="1:4" x14ac:dyDescent="0.35">
      <c r="A3" s="37" t="s">
        <v>49</v>
      </c>
    </row>
    <row r="4" spans="1:4" ht="15" thickBot="1" x14ac:dyDescent="0.4"/>
    <row r="5" spans="1:4" ht="15.5" x14ac:dyDescent="0.35">
      <c r="A5" s="10" t="s">
        <v>17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48</v>
      </c>
      <c r="B11" s="17">
        <v>0.5</v>
      </c>
      <c r="C11" s="15" t="s">
        <v>37</v>
      </c>
    </row>
    <row r="12" spans="1:4" ht="15.5" x14ac:dyDescent="0.35">
      <c r="A12" s="13"/>
      <c r="B12" s="14"/>
      <c r="C12" s="15"/>
    </row>
    <row r="13" spans="1:4" ht="15.5" x14ac:dyDescent="0.35">
      <c r="A13" s="13" t="s">
        <v>40</v>
      </c>
      <c r="B13" s="17">
        <f>B7/B9</f>
        <v>0.84000000000000008</v>
      </c>
      <c r="C13" s="15"/>
    </row>
    <row r="14" spans="1:4" ht="15.5" x14ac:dyDescent="0.35">
      <c r="A14" s="13"/>
      <c r="B14" s="14"/>
      <c r="C14" s="15"/>
    </row>
    <row r="15" spans="1:4" ht="17.5" x14ac:dyDescent="0.45">
      <c r="A15" s="13" t="s">
        <v>41</v>
      </c>
      <c r="B15" s="17">
        <f>1-B13</f>
        <v>0.15999999999999992</v>
      </c>
      <c r="C15" s="15"/>
    </row>
    <row r="16" spans="1:4" ht="15.5" x14ac:dyDescent="0.35">
      <c r="A16" s="13"/>
      <c r="B16" s="16"/>
      <c r="C16" s="15"/>
    </row>
    <row r="17" spans="1:4" ht="15.5" x14ac:dyDescent="0.35">
      <c r="A17" s="13" t="s">
        <v>1</v>
      </c>
      <c r="B17" s="17">
        <f>((B7^2*B11^2)+B13^2)/(2*(1-B13))</f>
        <v>3.0663281250000018</v>
      </c>
      <c r="C17" s="15"/>
      <c r="D17" t="s">
        <v>57</v>
      </c>
    </row>
    <row r="18" spans="1:4" ht="15.5" x14ac:dyDescent="0.35">
      <c r="A18" s="13"/>
      <c r="B18" s="14"/>
      <c r="C18" s="7"/>
    </row>
    <row r="19" spans="1:4" ht="15.5" x14ac:dyDescent="0.35">
      <c r="A19" s="13" t="s">
        <v>15</v>
      </c>
      <c r="B19" s="17">
        <f>B17/B7</f>
        <v>2.9203125000000014</v>
      </c>
      <c r="C19" s="15" t="s">
        <v>20</v>
      </c>
      <c r="D19" t="s">
        <v>58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2</v>
      </c>
      <c r="B21" s="17">
        <f>B17+(B7/B9)</f>
        <v>3.9063281250000017</v>
      </c>
      <c r="C21" s="15"/>
      <c r="D21" t="s">
        <v>59</v>
      </c>
    </row>
    <row r="22" spans="1:4" ht="15.5" x14ac:dyDescent="0.35">
      <c r="A22" s="13"/>
      <c r="B22" s="16"/>
      <c r="C22" s="15"/>
    </row>
    <row r="23" spans="1:4" ht="15.5" x14ac:dyDescent="0.35">
      <c r="A23" s="13" t="s">
        <v>3</v>
      </c>
      <c r="B23" s="17">
        <f>B19+(1/B9)</f>
        <v>3.7203125000000012</v>
      </c>
      <c r="C23" s="15" t="s">
        <v>20</v>
      </c>
    </row>
    <row r="24" spans="1:4" ht="15" thickBot="1" x14ac:dyDescent="0.4">
      <c r="A24" s="8"/>
      <c r="B24" s="18"/>
      <c r="C24" s="9"/>
    </row>
    <row r="50" spans="1:4" x14ac:dyDescent="0.35">
      <c r="A50" t="s">
        <v>27</v>
      </c>
      <c r="B50" s="4" t="s">
        <v>28</v>
      </c>
      <c r="C50" s="4" t="s">
        <v>17</v>
      </c>
      <c r="D50" s="4"/>
    </row>
    <row r="51" spans="1:4" x14ac:dyDescent="0.35">
      <c r="A51" t="s">
        <v>29</v>
      </c>
      <c r="B51" s="5">
        <f>B7</f>
        <v>1.05</v>
      </c>
      <c r="C51" s="5">
        <f>B51</f>
        <v>1.05</v>
      </c>
      <c r="D51" s="5"/>
    </row>
    <row r="52" spans="1:4" x14ac:dyDescent="0.35">
      <c r="A52" t="s">
        <v>30</v>
      </c>
      <c r="B52" s="5">
        <f>B9</f>
        <v>1.25</v>
      </c>
      <c r="C52" s="5">
        <f>B52</f>
        <v>1.25</v>
      </c>
      <c r="D52" s="5"/>
    </row>
    <row r="53" spans="1:4" x14ac:dyDescent="0.35">
      <c r="A53" t="s">
        <v>35</v>
      </c>
      <c r="B53" s="6">
        <v>2</v>
      </c>
      <c r="C53" s="6">
        <v>1</v>
      </c>
      <c r="D53" s="6"/>
    </row>
    <row r="54" spans="1:4" x14ac:dyDescent="0.35">
      <c r="A54" t="s">
        <v>36</v>
      </c>
      <c r="B54" s="5">
        <f>B51/B52</f>
        <v>0.84000000000000008</v>
      </c>
      <c r="C54" s="5">
        <f>C51/C52</f>
        <v>0.84000000000000008</v>
      </c>
      <c r="D54" s="5"/>
    </row>
    <row r="55" spans="1:4" x14ac:dyDescent="0.35">
      <c r="A55" t="s">
        <v>31</v>
      </c>
      <c r="B55" s="5">
        <f>B17</f>
        <v>3.0663281250000018</v>
      </c>
      <c r="C55" s="5" t="e">
        <f>#REF!</f>
        <v>#REF!</v>
      </c>
      <c r="D55" s="5"/>
    </row>
    <row r="56" spans="1:4" x14ac:dyDescent="0.35">
      <c r="A56" t="s">
        <v>32</v>
      </c>
      <c r="B56" s="5">
        <f>B21</f>
        <v>3.9063281250000017</v>
      </c>
      <c r="C56" s="5" t="e">
        <f>#REF!</f>
        <v>#REF!</v>
      </c>
      <c r="D56" s="5"/>
    </row>
    <row r="57" spans="1:4" x14ac:dyDescent="0.35">
      <c r="A57" t="s">
        <v>33</v>
      </c>
      <c r="B57" s="5">
        <f>B19</f>
        <v>2.9203125000000014</v>
      </c>
      <c r="C57" s="5" t="e">
        <f>#REF!</f>
        <v>#REF!</v>
      </c>
      <c r="D57" s="5"/>
    </row>
    <row r="58" spans="1:4" x14ac:dyDescent="0.35">
      <c r="A58" t="s">
        <v>34</v>
      </c>
      <c r="B58" s="5">
        <f>B23</f>
        <v>3.7203125000000012</v>
      </c>
      <c r="C58" s="5" t="e">
        <f>#REF!</f>
        <v>#REF!</v>
      </c>
      <c r="D58" s="5"/>
    </row>
    <row r="61" spans="1:4" x14ac:dyDescent="0.35">
      <c r="B61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BE8-5628-4411-9FF6-1EBA9D77BECF}">
  <dimension ref="A3:D59"/>
  <sheetViews>
    <sheetView showGridLines="0" zoomScale="69" zoomScaleNormal="100" workbookViewId="0">
      <selection activeCell="D11" sqref="D11"/>
    </sheetView>
  </sheetViews>
  <sheetFormatPr defaultRowHeight="14.5" x14ac:dyDescent="0.35"/>
  <cols>
    <col min="1" max="1" width="35.6328125" customWidth="1"/>
    <col min="2" max="2" width="12.90625" customWidth="1"/>
    <col min="3" max="3" width="12.453125" customWidth="1"/>
    <col min="4" max="4" width="21.90625" customWidth="1"/>
  </cols>
  <sheetData>
    <row r="3" spans="1:4" x14ac:dyDescent="0.35">
      <c r="A3" s="37" t="s">
        <v>50</v>
      </c>
    </row>
    <row r="4" spans="1:4" ht="15" thickBot="1" x14ac:dyDescent="0.4"/>
    <row r="5" spans="1:4" ht="15.5" x14ac:dyDescent="0.35">
      <c r="A5" s="10" t="s">
        <v>18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40</v>
      </c>
      <c r="B11" s="17">
        <f>B7/B9</f>
        <v>0.84000000000000008</v>
      </c>
      <c r="C11" s="15"/>
    </row>
    <row r="12" spans="1:4" ht="15.5" x14ac:dyDescent="0.35">
      <c r="A12" s="13"/>
      <c r="B12" s="14"/>
      <c r="C12" s="15"/>
    </row>
    <row r="13" spans="1:4" ht="17.5" x14ac:dyDescent="0.45">
      <c r="A13" s="13" t="s">
        <v>41</v>
      </c>
      <c r="B13" s="17">
        <f>1-B11</f>
        <v>0.15999999999999992</v>
      </c>
      <c r="C13" s="15"/>
    </row>
    <row r="14" spans="1:4" ht="15.5" x14ac:dyDescent="0.35">
      <c r="A14" s="13"/>
      <c r="B14" s="16"/>
      <c r="C14" s="15"/>
    </row>
    <row r="15" spans="1:4" ht="15.5" x14ac:dyDescent="0.35">
      <c r="A15" s="13" t="s">
        <v>1</v>
      </c>
      <c r="B15" s="17">
        <f>B11^2/(2*(1-B11))</f>
        <v>2.2050000000000014</v>
      </c>
      <c r="C15" s="15"/>
      <c r="D15" t="s">
        <v>57</v>
      </c>
    </row>
    <row r="16" spans="1:4" ht="15.5" x14ac:dyDescent="0.35">
      <c r="A16" s="13"/>
      <c r="B16" s="16"/>
      <c r="C16" s="15"/>
    </row>
    <row r="17" spans="1:4" ht="15.5" x14ac:dyDescent="0.35">
      <c r="A17" s="13" t="s">
        <v>15</v>
      </c>
      <c r="B17" s="17">
        <f>B15/B7</f>
        <v>2.1000000000000014</v>
      </c>
      <c r="C17" s="15" t="s">
        <v>20</v>
      </c>
      <c r="D17" t="s">
        <v>58</v>
      </c>
    </row>
    <row r="18" spans="1:4" ht="15.5" x14ac:dyDescent="0.35">
      <c r="A18" s="13"/>
      <c r="B18" s="16"/>
      <c r="C18" s="15"/>
    </row>
    <row r="19" spans="1:4" ht="15.5" x14ac:dyDescent="0.35">
      <c r="A19" s="13" t="s">
        <v>2</v>
      </c>
      <c r="B19" s="17">
        <f>B15+(B7/B9)</f>
        <v>3.0450000000000017</v>
      </c>
      <c r="C19" s="15"/>
      <c r="D19" t="s">
        <v>59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3</v>
      </c>
      <c r="B21" s="17">
        <f>B17+(1/B9)</f>
        <v>2.9000000000000012</v>
      </c>
      <c r="C21" s="15" t="s">
        <v>20</v>
      </c>
    </row>
    <row r="22" spans="1:4" ht="15" thickBot="1" x14ac:dyDescent="0.4">
      <c r="A22" s="8"/>
      <c r="B22" s="18"/>
      <c r="C22" s="9"/>
    </row>
    <row r="48" spans="1:4" x14ac:dyDescent="0.35">
      <c r="A48" t="s">
        <v>27</v>
      </c>
      <c r="B48" s="4" t="s">
        <v>28</v>
      </c>
      <c r="C48" s="4" t="s">
        <v>17</v>
      </c>
      <c r="D48" s="4"/>
    </row>
    <row r="49" spans="1:4" x14ac:dyDescent="0.35">
      <c r="A49" t="s">
        <v>29</v>
      </c>
      <c r="B49" s="5">
        <f>B7</f>
        <v>1.05</v>
      </c>
      <c r="C49" s="5">
        <f>B49</f>
        <v>1.05</v>
      </c>
      <c r="D49" s="5"/>
    </row>
    <row r="50" spans="1:4" x14ac:dyDescent="0.35">
      <c r="A50" t="s">
        <v>30</v>
      </c>
      <c r="B50" s="5">
        <f>B9</f>
        <v>1.25</v>
      </c>
      <c r="C50" s="5">
        <f>B50</f>
        <v>1.25</v>
      </c>
      <c r="D50" s="5"/>
    </row>
    <row r="51" spans="1:4" x14ac:dyDescent="0.35">
      <c r="A51" t="s">
        <v>35</v>
      </c>
      <c r="B51" s="6">
        <v>2</v>
      </c>
      <c r="C51" s="6">
        <v>1</v>
      </c>
      <c r="D51" s="6"/>
    </row>
    <row r="52" spans="1:4" x14ac:dyDescent="0.35">
      <c r="A52" t="s">
        <v>36</v>
      </c>
      <c r="B52" s="5">
        <f>B49/B50</f>
        <v>0.84000000000000008</v>
      </c>
      <c r="C52" s="5">
        <f>C49/C50</f>
        <v>0.84000000000000008</v>
      </c>
      <c r="D52" s="5"/>
    </row>
    <row r="53" spans="1:4" x14ac:dyDescent="0.35">
      <c r="A53" t="s">
        <v>31</v>
      </c>
      <c r="B53" s="5">
        <f>B15</f>
        <v>2.2050000000000014</v>
      </c>
      <c r="C53" s="5" t="e">
        <f>#REF!</f>
        <v>#REF!</v>
      </c>
      <c r="D53" s="5"/>
    </row>
    <row r="54" spans="1:4" x14ac:dyDescent="0.35">
      <c r="A54" t="s">
        <v>32</v>
      </c>
      <c r="B54" s="5">
        <f>B19</f>
        <v>3.0450000000000017</v>
      </c>
      <c r="C54" s="5" t="e">
        <f>#REF!</f>
        <v>#REF!</v>
      </c>
      <c r="D54" s="5"/>
    </row>
    <row r="55" spans="1:4" x14ac:dyDescent="0.35">
      <c r="A55" t="s">
        <v>33</v>
      </c>
      <c r="B55" s="5">
        <f>B17</f>
        <v>2.1000000000000014</v>
      </c>
      <c r="C55" s="5" t="e">
        <f>#REF!</f>
        <v>#REF!</v>
      </c>
      <c r="D55" s="5"/>
    </row>
    <row r="56" spans="1:4" x14ac:dyDescent="0.35">
      <c r="A56" t="s">
        <v>34</v>
      </c>
      <c r="B56" s="5">
        <f>B21</f>
        <v>2.9000000000000012</v>
      </c>
      <c r="C56" s="5" t="e">
        <f>#REF!</f>
        <v>#REF!</v>
      </c>
      <c r="D56" s="5"/>
    </row>
    <row r="59" spans="1:4" x14ac:dyDescent="0.35">
      <c r="B59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F6E2-26A3-4CBA-B52F-DAA7D95BB8DA}">
  <dimension ref="A3:P48"/>
  <sheetViews>
    <sheetView showGridLines="0" zoomScale="69" zoomScaleNormal="80" workbookViewId="0">
      <selection activeCell="C7" sqref="C7"/>
    </sheetView>
  </sheetViews>
  <sheetFormatPr defaultRowHeight="14.5" x14ac:dyDescent="0.35"/>
  <cols>
    <col min="1" max="1" width="31.6328125" customWidth="1"/>
    <col min="2" max="2" width="13.81640625" bestFit="1" customWidth="1"/>
    <col min="3" max="3" width="24.453125" customWidth="1"/>
    <col min="4" max="4" width="17.453125" customWidth="1"/>
    <col min="5" max="5" width="4.6328125" customWidth="1"/>
    <col min="6" max="6" width="11.81640625" customWidth="1"/>
    <col min="7" max="7" width="15.7265625" customWidth="1"/>
    <col min="8" max="8" width="22.26953125" style="3" customWidth="1"/>
    <col min="9" max="9" width="20.26953125" style="3" customWidth="1"/>
  </cols>
  <sheetData>
    <row r="3" spans="1:9" x14ac:dyDescent="0.35">
      <c r="H3" s="3">
        <f>SUM(H9:H21)</f>
        <v>0.62550981308477449</v>
      </c>
    </row>
    <row r="4" spans="1:9" x14ac:dyDescent="0.35">
      <c r="H4" s="3">
        <f>SUM(I22:I25)</f>
        <v>0.19389113844144798</v>
      </c>
    </row>
    <row r="5" spans="1:9" ht="15.5" x14ac:dyDescent="0.35">
      <c r="H5" s="55">
        <f>1-H3-H4</f>
        <v>0.18059904847377753</v>
      </c>
      <c r="I5" s="55"/>
    </row>
    <row r="6" spans="1:9" ht="18.5" x14ac:dyDescent="0.45">
      <c r="A6" s="19" t="s">
        <v>42</v>
      </c>
      <c r="B6" s="20"/>
      <c r="C6" s="20"/>
      <c r="D6" s="20"/>
      <c r="F6" s="63" t="s">
        <v>45</v>
      </c>
      <c r="G6" s="33"/>
      <c r="H6" s="66" t="s">
        <v>44</v>
      </c>
      <c r="I6" s="67"/>
    </row>
    <row r="7" spans="1:9" ht="17.5" x14ac:dyDescent="0.35">
      <c r="A7" s="21" t="s">
        <v>25</v>
      </c>
      <c r="B7" s="22" t="s">
        <v>26</v>
      </c>
      <c r="C7" s="23">
        <f>60/30</f>
        <v>2</v>
      </c>
      <c r="D7" s="24" t="s">
        <v>0</v>
      </c>
      <c r="F7" s="64"/>
      <c r="G7" s="34"/>
      <c r="H7" s="36"/>
      <c r="I7" s="35"/>
    </row>
    <row r="8" spans="1:9" ht="22.5" customHeight="1" x14ac:dyDescent="0.35">
      <c r="A8" s="25"/>
      <c r="B8" s="22"/>
      <c r="C8" s="22"/>
      <c r="D8" s="24"/>
      <c r="F8" s="65"/>
      <c r="G8" s="34"/>
      <c r="H8" s="38"/>
      <c r="I8" s="39"/>
    </row>
    <row r="9" spans="1:9" ht="17.5" x14ac:dyDescent="0.35">
      <c r="A9" s="21" t="s">
        <v>24</v>
      </c>
      <c r="B9" s="22" t="s">
        <v>23</v>
      </c>
      <c r="C9" s="26">
        <f>1/5</f>
        <v>0.2</v>
      </c>
      <c r="D9" s="24" t="s">
        <v>0</v>
      </c>
      <c r="F9" s="27">
        <v>0</v>
      </c>
      <c r="G9" s="41">
        <f>($C$7/$C$9)^F9/(FACT(F9))</f>
        <v>1</v>
      </c>
      <c r="H9" s="51">
        <f>G9*$C$15</f>
        <v>3.5876279743338452E-5</v>
      </c>
      <c r="I9" s="41">
        <f>(($C$7/$C$9)^F9*$C$15)/((FACT($C$11))*$C$11^(F9-$C$11))</f>
        <v>0.66779842468446371</v>
      </c>
    </row>
    <row r="10" spans="1:9" ht="17.5" x14ac:dyDescent="0.35">
      <c r="A10" s="25"/>
      <c r="B10" s="22"/>
      <c r="C10" s="22"/>
      <c r="D10" s="24"/>
      <c r="F10" s="27">
        <v>1</v>
      </c>
      <c r="G10" s="41">
        <f t="shared" ref="G10:G34" si="0">($C$7/$C$9)^F10/(FACT(F10))</f>
        <v>10</v>
      </c>
      <c r="H10" s="51">
        <f t="shared" ref="H10:H34" si="1">G10*$C$15</f>
        <v>3.5876279743338451E-4</v>
      </c>
      <c r="I10" s="41">
        <f t="shared" ref="I10:I34" si="2">(($C$7/$C$9)^F10*$C$15)/((FACT($C$11))*$C$11^(F10-$C$11))</f>
        <v>0.55649868723705309</v>
      </c>
    </row>
    <row r="11" spans="1:9" ht="17.5" x14ac:dyDescent="0.35">
      <c r="A11" s="21" t="s">
        <v>22</v>
      </c>
      <c r="B11" s="22" t="s">
        <v>11</v>
      </c>
      <c r="C11" s="28">
        <v>12</v>
      </c>
      <c r="D11" s="24"/>
      <c r="F11" s="27">
        <v>2</v>
      </c>
      <c r="G11" s="41">
        <f t="shared" si="0"/>
        <v>50</v>
      </c>
      <c r="H11" s="51">
        <f t="shared" si="1"/>
        <v>1.7938139871669226E-3</v>
      </c>
      <c r="I11" s="41">
        <f t="shared" si="2"/>
        <v>0.46374890603087765</v>
      </c>
    </row>
    <row r="12" spans="1:9" ht="17.5" x14ac:dyDescent="0.35">
      <c r="A12" s="25"/>
      <c r="B12" s="22"/>
      <c r="C12" s="22"/>
      <c r="D12" s="24"/>
      <c r="F12" s="27">
        <v>3</v>
      </c>
      <c r="G12" s="41">
        <f t="shared" si="0"/>
        <v>166.66666666666666</v>
      </c>
      <c r="H12" s="51">
        <f t="shared" si="1"/>
        <v>5.9793799572230751E-3</v>
      </c>
      <c r="I12" s="41">
        <f t="shared" si="2"/>
        <v>0.386457421692398</v>
      </c>
    </row>
    <row r="13" spans="1:9" ht="17.5" x14ac:dyDescent="0.35">
      <c r="A13" s="21" t="s">
        <v>21</v>
      </c>
      <c r="B13" s="29" t="s">
        <v>12</v>
      </c>
      <c r="C13" s="30">
        <f>C7/(C11*C9)</f>
        <v>0.83333333333333326</v>
      </c>
      <c r="D13" s="22"/>
      <c r="F13" s="27">
        <v>4</v>
      </c>
      <c r="G13" s="41">
        <f t="shared" si="0"/>
        <v>416.66666666666669</v>
      </c>
      <c r="H13" s="51">
        <f t="shared" si="1"/>
        <v>1.4948449893057689E-2</v>
      </c>
      <c r="I13" s="41">
        <f t="shared" si="2"/>
        <v>0.3220478514103316</v>
      </c>
    </row>
    <row r="14" spans="1:9" ht="17.5" x14ac:dyDescent="0.35">
      <c r="A14" s="21"/>
      <c r="B14" s="22"/>
      <c r="C14" s="31"/>
      <c r="D14" s="22"/>
      <c r="F14" s="27">
        <v>5</v>
      </c>
      <c r="G14" s="41">
        <f t="shared" si="0"/>
        <v>833.33333333333337</v>
      </c>
      <c r="H14" s="51">
        <f t="shared" si="1"/>
        <v>2.9896899786115379E-2</v>
      </c>
      <c r="I14" s="41">
        <f t="shared" si="2"/>
        <v>0.26837320950860971</v>
      </c>
    </row>
    <row r="15" spans="1:9" ht="20.5" x14ac:dyDescent="0.5">
      <c r="A15" s="21" t="s">
        <v>4</v>
      </c>
      <c r="B15" s="22" t="s">
        <v>43</v>
      </c>
      <c r="C15" s="32">
        <f>1/(D26+(D30*D34))</f>
        <v>3.5876279743338452E-5</v>
      </c>
      <c r="D15" s="22"/>
      <c r="F15" s="27">
        <v>6</v>
      </c>
      <c r="G15" s="41">
        <f t="shared" si="0"/>
        <v>1388.8888888888889</v>
      </c>
      <c r="H15" s="51">
        <f t="shared" si="1"/>
        <v>4.9828166310192296E-2</v>
      </c>
      <c r="I15" s="41">
        <f t="shared" si="2"/>
        <v>0.22364434125717478</v>
      </c>
    </row>
    <row r="16" spans="1:9" ht="17.5" x14ac:dyDescent="0.35">
      <c r="A16" s="21"/>
      <c r="B16" s="22"/>
      <c r="C16" s="31"/>
      <c r="D16" s="22"/>
      <c r="F16" s="27">
        <v>7</v>
      </c>
      <c r="G16" s="41">
        <f t="shared" si="0"/>
        <v>1984.1269841269841</v>
      </c>
      <c r="H16" s="51">
        <f t="shared" si="1"/>
        <v>7.1183094728846139E-2</v>
      </c>
      <c r="I16" s="41">
        <f t="shared" si="2"/>
        <v>0.18637028438097897</v>
      </c>
    </row>
    <row r="17" spans="1:9" ht="17.5" x14ac:dyDescent="0.35">
      <c r="A17" s="21" t="s">
        <v>5</v>
      </c>
      <c r="B17" s="22" t="s">
        <v>6</v>
      </c>
      <c r="C17" s="40">
        <f>($C$15)*(($C$7/$C$9)^$C$11*($C$7*$C$9))/(FACT($C$11-1)*($C$11*$C$9-$C$7)^2)</f>
        <v>2.2469411214913513</v>
      </c>
      <c r="D17" s="22"/>
      <c r="F17" s="27">
        <v>8</v>
      </c>
      <c r="G17" s="41">
        <f t="shared" si="0"/>
        <v>2480.1587301587301</v>
      </c>
      <c r="H17" s="51">
        <f t="shared" si="1"/>
        <v>8.8978868411057663E-2</v>
      </c>
      <c r="I17" s="41">
        <f t="shared" si="2"/>
        <v>0.15530857031748246</v>
      </c>
    </row>
    <row r="18" spans="1:9" ht="17.5" x14ac:dyDescent="0.35">
      <c r="A18" s="21"/>
      <c r="B18" s="22"/>
      <c r="C18" s="31"/>
      <c r="D18" s="22"/>
      <c r="F18" s="27">
        <v>9</v>
      </c>
      <c r="G18" s="41">
        <f t="shared" si="0"/>
        <v>2755.7319223985892</v>
      </c>
      <c r="H18" s="51">
        <f t="shared" si="1"/>
        <v>9.8865409345619631E-2</v>
      </c>
      <c r="I18" s="41">
        <f t="shared" si="2"/>
        <v>0.12942380859790206</v>
      </c>
    </row>
    <row r="19" spans="1:9" ht="17.5" x14ac:dyDescent="0.35">
      <c r="A19" s="21" t="s">
        <v>7</v>
      </c>
      <c r="B19" s="22" t="s">
        <v>13</v>
      </c>
      <c r="C19" s="40">
        <f>($C$17)+($C$7/$C$9)</f>
        <v>12.246941121491352</v>
      </c>
      <c r="D19" s="22"/>
      <c r="F19" s="27">
        <v>10</v>
      </c>
      <c r="G19" s="41">
        <f t="shared" si="0"/>
        <v>2755.7319223985892</v>
      </c>
      <c r="H19" s="51">
        <f t="shared" si="1"/>
        <v>9.8865409345619631E-2</v>
      </c>
      <c r="I19" s="41">
        <f t="shared" si="2"/>
        <v>0.10785317383158505</v>
      </c>
    </row>
    <row r="20" spans="1:9" ht="17.5" x14ac:dyDescent="0.35">
      <c r="A20" s="21"/>
      <c r="B20" s="22"/>
      <c r="C20" s="31"/>
      <c r="D20" s="22"/>
      <c r="F20" s="27">
        <v>11</v>
      </c>
      <c r="G20" s="41">
        <f t="shared" si="0"/>
        <v>2505.210838544172</v>
      </c>
      <c r="H20" s="51">
        <f t="shared" si="1"/>
        <v>8.9877644859654215E-2</v>
      </c>
      <c r="I20" s="41">
        <f t="shared" si="2"/>
        <v>8.9877644859654202E-2</v>
      </c>
    </row>
    <row r="21" spans="1:9" ht="17.5" x14ac:dyDescent="0.35">
      <c r="A21" s="21" t="s">
        <v>8</v>
      </c>
      <c r="B21" s="22" t="s">
        <v>9</v>
      </c>
      <c r="C21" s="40">
        <f>$C$17/$C$7</f>
        <v>1.1234705607456756</v>
      </c>
      <c r="D21" s="22" t="s">
        <v>20</v>
      </c>
      <c r="F21" s="27">
        <v>12</v>
      </c>
      <c r="G21" s="41">
        <f t="shared" si="0"/>
        <v>2087.6756987868098</v>
      </c>
      <c r="H21" s="51">
        <f t="shared" si="1"/>
        <v>7.4898037383045166E-2</v>
      </c>
      <c r="I21" s="41">
        <f t="shared" si="2"/>
        <v>7.489803738304518E-2</v>
      </c>
    </row>
    <row r="22" spans="1:9" ht="17.5" x14ac:dyDescent="0.35">
      <c r="A22" s="21"/>
      <c r="B22" s="22"/>
      <c r="C22" s="31"/>
      <c r="D22" s="22"/>
      <c r="F22" s="27">
        <v>13</v>
      </c>
      <c r="G22" s="41">
        <f t="shared" si="0"/>
        <v>1605.9043836821616</v>
      </c>
      <c r="H22" s="41">
        <f t="shared" si="1"/>
        <v>5.7613874910034751E-2</v>
      </c>
      <c r="I22" s="51">
        <f t="shared" si="2"/>
        <v>6.2415031152537652E-2</v>
      </c>
    </row>
    <row r="23" spans="1:9" ht="17.5" x14ac:dyDescent="0.35">
      <c r="A23" s="21" t="s">
        <v>10</v>
      </c>
      <c r="B23" s="22" t="s">
        <v>14</v>
      </c>
      <c r="C23" s="40">
        <f>$C$21+(1/$C$9)</f>
        <v>6.1234705607456759</v>
      </c>
      <c r="D23" s="22" t="s">
        <v>20</v>
      </c>
      <c r="F23" s="27">
        <v>14</v>
      </c>
      <c r="G23" s="41">
        <f t="shared" si="0"/>
        <v>1147.0745597729724</v>
      </c>
      <c r="H23" s="41">
        <f t="shared" si="1"/>
        <v>4.1152767792881961E-2</v>
      </c>
      <c r="I23" s="51">
        <f t="shared" si="2"/>
        <v>5.2012525960448037E-2</v>
      </c>
    </row>
    <row r="24" spans="1:9" ht="17.5" x14ac:dyDescent="0.35">
      <c r="A24" s="21"/>
      <c r="B24" s="22"/>
      <c r="C24" s="31"/>
      <c r="D24" s="22"/>
      <c r="F24" s="27">
        <v>15</v>
      </c>
      <c r="G24" s="41">
        <f t="shared" si="0"/>
        <v>764.71637318198168</v>
      </c>
      <c r="H24" s="41">
        <f t="shared" si="1"/>
        <v>2.7435178528587977E-2</v>
      </c>
      <c r="I24" s="51">
        <f t="shared" si="2"/>
        <v>4.3343771633706701E-2</v>
      </c>
    </row>
    <row r="25" spans="1:9" ht="15.5" x14ac:dyDescent="0.35">
      <c r="F25" s="27">
        <v>16</v>
      </c>
      <c r="G25" s="41">
        <f t="shared" si="0"/>
        <v>477.94773323873852</v>
      </c>
      <c r="H25" s="41">
        <f t="shared" si="1"/>
        <v>1.7146986580367486E-2</v>
      </c>
      <c r="I25" s="51">
        <f t="shared" si="2"/>
        <v>3.6119809694755582E-2</v>
      </c>
    </row>
    <row r="26" spans="1:9" ht="18.5" customHeight="1" x14ac:dyDescent="0.35">
      <c r="A26" s="68" t="s">
        <v>46</v>
      </c>
      <c r="B26" s="69">
        <f>C11-1</f>
        <v>11</v>
      </c>
      <c r="C26" s="56"/>
      <c r="D26" s="57">
        <f>SUM(G9:G20)</f>
        <v>15347.515953182619</v>
      </c>
      <c r="F26" s="27">
        <v>17</v>
      </c>
      <c r="G26" s="41">
        <f t="shared" si="0"/>
        <v>281.14572543455205</v>
      </c>
      <c r="H26" s="41">
        <f t="shared" si="1"/>
        <v>1.0086462694333814E-2</v>
      </c>
      <c r="I26" s="41">
        <f t="shared" si="2"/>
        <v>3.0099841412296317E-2</v>
      </c>
    </row>
    <row r="27" spans="1:9" ht="15.5" x14ac:dyDescent="0.35">
      <c r="A27" s="68"/>
      <c r="B27" s="70"/>
      <c r="C27" s="56"/>
      <c r="D27" s="58"/>
      <c r="F27" s="27">
        <v>18</v>
      </c>
      <c r="G27" s="41">
        <f t="shared" si="0"/>
        <v>156.19206968586226</v>
      </c>
      <c r="H27" s="41">
        <f t="shared" si="1"/>
        <v>5.603590385741008E-3</v>
      </c>
      <c r="I27" s="41">
        <f t="shared" si="2"/>
        <v>2.5083201176913601E-2</v>
      </c>
    </row>
    <row r="28" spans="1:9" ht="15.5" x14ac:dyDescent="0.35">
      <c r="A28" s="68"/>
      <c r="B28" s="71"/>
      <c r="C28" s="56"/>
      <c r="D28" s="59"/>
      <c r="F28" s="27">
        <v>19</v>
      </c>
      <c r="G28" s="41">
        <f t="shared" si="0"/>
        <v>82.206352466243303</v>
      </c>
      <c r="H28" s="41">
        <f t="shared" si="1"/>
        <v>2.9492580977584257E-3</v>
      </c>
      <c r="I28" s="41">
        <f t="shared" si="2"/>
        <v>2.0902667647427996E-2</v>
      </c>
    </row>
    <row r="29" spans="1:9" ht="15.5" x14ac:dyDescent="0.35">
      <c r="F29" s="27">
        <v>20</v>
      </c>
      <c r="G29" s="41">
        <f t="shared" si="0"/>
        <v>41.103176233121651</v>
      </c>
      <c r="H29" s="41">
        <f t="shared" si="1"/>
        <v>1.4746290488792128E-3</v>
      </c>
      <c r="I29" s="41">
        <f t="shared" si="2"/>
        <v>1.7418889706189999E-2</v>
      </c>
    </row>
    <row r="30" spans="1:9" ht="18.5" customHeight="1" x14ac:dyDescent="0.35">
      <c r="C30" s="56"/>
      <c r="D30" s="60">
        <f>($C$7/$C$9)^C11/FACT($C$11)</f>
        <v>2087.6756987868098</v>
      </c>
      <c r="F30" s="27">
        <v>21</v>
      </c>
      <c r="G30" s="41">
        <f t="shared" si="0"/>
        <v>19.572941063391262</v>
      </c>
      <c r="H30" s="41">
        <f t="shared" si="1"/>
        <v>7.022043089901013E-4</v>
      </c>
      <c r="I30" s="41">
        <f t="shared" si="2"/>
        <v>1.4515741421824999E-2</v>
      </c>
    </row>
    <row r="31" spans="1:9" ht="15.5" x14ac:dyDescent="0.35">
      <c r="C31" s="56"/>
      <c r="D31" s="61"/>
      <c r="F31" s="27">
        <v>22</v>
      </c>
      <c r="G31" s="41">
        <f t="shared" si="0"/>
        <v>8.8967913924505737</v>
      </c>
      <c r="H31" s="41">
        <f t="shared" si="1"/>
        <v>3.191837768136824E-4</v>
      </c>
      <c r="I31" s="41">
        <f t="shared" si="2"/>
        <v>1.2096451184854166E-2</v>
      </c>
    </row>
    <row r="32" spans="1:9" ht="15.5" x14ac:dyDescent="0.35">
      <c r="C32" s="56"/>
      <c r="D32" s="62"/>
      <c r="F32" s="27">
        <v>23</v>
      </c>
      <c r="G32" s="41">
        <f t="shared" si="0"/>
        <v>3.8681701706306835</v>
      </c>
      <c r="H32" s="41">
        <f t="shared" si="1"/>
        <v>1.3877555513638364E-4</v>
      </c>
      <c r="I32" s="41">
        <f t="shared" si="2"/>
        <v>1.0080375987378471E-2</v>
      </c>
    </row>
    <row r="33" spans="3:16" ht="15.5" x14ac:dyDescent="0.35">
      <c r="F33" s="27">
        <v>24</v>
      </c>
      <c r="G33" s="41">
        <f t="shared" si="0"/>
        <v>1.6117375710961184</v>
      </c>
      <c r="H33" s="41">
        <f t="shared" si="1"/>
        <v>5.7823147973493192E-5</v>
      </c>
      <c r="I33" s="41">
        <f t="shared" si="2"/>
        <v>8.4003133228153937E-3</v>
      </c>
    </row>
    <row r="34" spans="3:16" ht="18.5" customHeight="1" x14ac:dyDescent="0.35">
      <c r="C34" s="56"/>
      <c r="D34" s="60">
        <f>($C$11*$C$9)/(($C$11*$C$9)-($C$7))</f>
        <v>5.9999999999999956</v>
      </c>
      <c r="F34" s="27">
        <v>25</v>
      </c>
      <c r="G34" s="41">
        <f t="shared" si="0"/>
        <v>0.6446950284384475</v>
      </c>
      <c r="H34" s="41">
        <f t="shared" si="1"/>
        <v>2.3129259189397282E-5</v>
      </c>
      <c r="I34" s="41">
        <f t="shared" si="2"/>
        <v>7.0002611023461609E-3</v>
      </c>
    </row>
    <row r="35" spans="3:16" x14ac:dyDescent="0.35">
      <c r="C35" s="56"/>
      <c r="D35" s="61"/>
    </row>
    <row r="36" spans="3:16" x14ac:dyDescent="0.35">
      <c r="C36" s="56"/>
      <c r="D36" s="62"/>
    </row>
    <row r="41" spans="3:16" x14ac:dyDescent="0.35">
      <c r="P41" s="1"/>
    </row>
    <row r="48" spans="3:16" x14ac:dyDescent="0.35">
      <c r="P48" s="2"/>
    </row>
  </sheetData>
  <mergeCells count="11">
    <mergeCell ref="A26:A28"/>
    <mergeCell ref="B26:B28"/>
    <mergeCell ref="C26:C28"/>
    <mergeCell ref="H5:I5"/>
    <mergeCell ref="C30:C32"/>
    <mergeCell ref="D26:D28"/>
    <mergeCell ref="D30:D32"/>
    <mergeCell ref="D34:D36"/>
    <mergeCell ref="C34:C36"/>
    <mergeCell ref="F6:F8"/>
    <mergeCell ref="H6:I6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16FC-1753-47F9-9E36-54117FBB0E4A}">
  <dimension ref="A1:Q47"/>
  <sheetViews>
    <sheetView showGridLines="0" topLeftCell="A18" zoomScale="71" zoomScaleNormal="80" workbookViewId="0">
      <selection activeCell="D25" sqref="D25:D27"/>
    </sheetView>
  </sheetViews>
  <sheetFormatPr defaultRowHeight="14.5" x14ac:dyDescent="0.35"/>
  <cols>
    <col min="1" max="1" width="32.90625" customWidth="1"/>
    <col min="2" max="2" width="13.81640625" bestFit="1" customWidth="1"/>
    <col min="3" max="3" width="24.453125" customWidth="1"/>
    <col min="4" max="4" width="17.453125" customWidth="1"/>
    <col min="5" max="5" width="25.1796875" customWidth="1"/>
    <col min="6" max="6" width="4.6328125" customWidth="1"/>
    <col min="7" max="7" width="11.81640625" customWidth="1"/>
    <col min="8" max="8" width="29.453125" customWidth="1"/>
    <col min="9" max="9" width="30" style="3" customWidth="1"/>
    <col min="10" max="10" width="20.1796875" style="3" customWidth="1"/>
  </cols>
  <sheetData>
    <row r="1" spans="1:10" ht="45.5" x14ac:dyDescent="0.55000000000000004">
      <c r="A1" s="43" t="s">
        <v>51</v>
      </c>
      <c r="H1" s="44" t="s">
        <v>52</v>
      </c>
      <c r="I1" s="44" t="s">
        <v>53</v>
      </c>
    </row>
    <row r="2" spans="1:10" ht="23.5" x14ac:dyDescent="0.55000000000000004">
      <c r="A2" s="45" t="s">
        <v>54</v>
      </c>
      <c r="H2" s="46">
        <f>SUM(I8:I15)</f>
        <v>0.58178124738024328</v>
      </c>
      <c r="I2" s="46">
        <f>1-SUM(I8:I16)-J17</f>
        <v>0.25526046912826938</v>
      </c>
    </row>
    <row r="3" spans="1:10" ht="23.5" x14ac:dyDescent="0.55000000000000004">
      <c r="A3" s="45" t="s">
        <v>55</v>
      </c>
    </row>
    <row r="4" spans="1:10" ht="15.5" x14ac:dyDescent="0.35">
      <c r="I4" s="55"/>
      <c r="J4" s="55"/>
    </row>
    <row r="5" spans="1:10" ht="18.5" x14ac:dyDescent="0.45">
      <c r="A5" s="19" t="s">
        <v>42</v>
      </c>
      <c r="B5" s="20"/>
      <c r="C5" s="20"/>
      <c r="D5" s="20"/>
      <c r="E5" s="20"/>
      <c r="G5" s="63" t="s">
        <v>45</v>
      </c>
      <c r="H5" s="33"/>
      <c r="I5" s="66" t="s">
        <v>44</v>
      </c>
      <c r="J5" s="67"/>
    </row>
    <row r="6" spans="1:10" ht="17.5" x14ac:dyDescent="0.35">
      <c r="A6" s="21" t="s">
        <v>25</v>
      </c>
      <c r="B6" s="22" t="s">
        <v>26</v>
      </c>
      <c r="C6" s="23">
        <f>150/60</f>
        <v>2.5</v>
      </c>
      <c r="D6" s="24" t="s">
        <v>0</v>
      </c>
      <c r="E6" s="52"/>
      <c r="G6" s="64"/>
      <c r="H6" s="34"/>
      <c r="I6" s="36"/>
      <c r="J6" s="35"/>
    </row>
    <row r="7" spans="1:10" ht="25.5" customHeight="1" x14ac:dyDescent="0.35">
      <c r="A7" s="25"/>
      <c r="B7" s="22"/>
      <c r="C7" s="22"/>
      <c r="D7" s="24"/>
      <c r="E7" s="52"/>
      <c r="G7" s="65"/>
      <c r="H7" s="34"/>
      <c r="I7" s="38"/>
      <c r="J7" s="39"/>
    </row>
    <row r="8" spans="1:10" ht="17.5" x14ac:dyDescent="0.35">
      <c r="A8" s="21" t="s">
        <v>24</v>
      </c>
      <c r="B8" s="22" t="s">
        <v>23</v>
      </c>
      <c r="C8" s="47">
        <f>1/2.5</f>
        <v>0.4</v>
      </c>
      <c r="D8" s="24" t="s">
        <v>0</v>
      </c>
      <c r="E8" s="52"/>
      <c r="G8" s="27">
        <v>0</v>
      </c>
      <c r="H8" s="41">
        <f>($C$6/$C$8)^G8/(FACT(G8))</f>
        <v>1</v>
      </c>
      <c r="I8" s="48">
        <f>H8*$C$14</f>
        <v>1.584280032996829E-3</v>
      </c>
      <c r="J8" s="41">
        <f>(($C$6/$C$8)^G8*$C$14)/((FACT($C$10))*$C$10^(G8-$C$10))</f>
        <v>0.6592214364601916</v>
      </c>
    </row>
    <row r="9" spans="1:10" ht="17.5" x14ac:dyDescent="0.35">
      <c r="A9" s="25"/>
      <c r="B9" s="22"/>
      <c r="C9" s="22"/>
      <c r="D9" s="24"/>
      <c r="E9" s="52"/>
      <c r="G9" s="27">
        <v>1</v>
      </c>
      <c r="H9" s="41">
        <f t="shared" ref="H9:H33" si="0">($C$6/$C$8)^G9/(FACT(G9))</f>
        <v>6.25</v>
      </c>
      <c r="I9" s="48">
        <f t="shared" ref="I9:I33" si="1">H9*$C$14</f>
        <v>9.9017502062301813E-3</v>
      </c>
      <c r="J9" s="41">
        <f t="shared" ref="J9:J33" si="2">(($C$6/$C$8)^G9*$C$14)/((FACT($C$10))*$C$10^(G9-$C$10))</f>
        <v>0.51501674723452473</v>
      </c>
    </row>
    <row r="10" spans="1:10" ht="17.5" x14ac:dyDescent="0.35">
      <c r="A10" s="21" t="s">
        <v>22</v>
      </c>
      <c r="B10" s="22" t="s">
        <v>11</v>
      </c>
      <c r="C10" s="28">
        <v>8</v>
      </c>
      <c r="D10" s="24"/>
      <c r="E10" s="52"/>
      <c r="G10" s="27">
        <v>2</v>
      </c>
      <c r="H10" s="41">
        <f t="shared" si="0"/>
        <v>19.53125</v>
      </c>
      <c r="I10" s="48">
        <f t="shared" si="1"/>
        <v>3.0942969394469316E-2</v>
      </c>
      <c r="J10" s="41">
        <f t="shared" si="2"/>
        <v>0.40235683377697246</v>
      </c>
    </row>
    <row r="11" spans="1:10" ht="17.5" x14ac:dyDescent="0.35">
      <c r="A11" s="25"/>
      <c r="B11" s="22"/>
      <c r="C11" s="22"/>
      <c r="D11" s="24"/>
      <c r="E11" s="52"/>
      <c r="G11" s="27">
        <v>3</v>
      </c>
      <c r="H11" s="41">
        <f t="shared" si="0"/>
        <v>40.690104166666664</v>
      </c>
      <c r="I11" s="48">
        <f t="shared" si="1"/>
        <v>6.4464519571811069E-2</v>
      </c>
      <c r="J11" s="41">
        <f t="shared" si="2"/>
        <v>0.3143412763882597</v>
      </c>
    </row>
    <row r="12" spans="1:10" ht="17.5" x14ac:dyDescent="0.35">
      <c r="A12" s="21" t="s">
        <v>21</v>
      </c>
      <c r="B12" s="29" t="s">
        <v>12</v>
      </c>
      <c r="C12" s="30">
        <f>C6/(C10*C8)</f>
        <v>0.78125</v>
      </c>
      <c r="D12" s="22"/>
      <c r="E12" s="53"/>
      <c r="G12" s="27">
        <v>4</v>
      </c>
      <c r="H12" s="41">
        <f t="shared" si="0"/>
        <v>63.578287760416664</v>
      </c>
      <c r="I12" s="48">
        <f t="shared" si="1"/>
        <v>0.1007258118309548</v>
      </c>
      <c r="J12" s="41">
        <f t="shared" si="2"/>
        <v>0.24557912217832789</v>
      </c>
    </row>
    <row r="13" spans="1:10" ht="17.5" x14ac:dyDescent="0.35">
      <c r="A13" s="21"/>
      <c r="B13" s="22"/>
      <c r="C13" s="31"/>
      <c r="D13" s="22"/>
      <c r="E13" s="53"/>
      <c r="G13" s="27">
        <v>5</v>
      </c>
      <c r="H13" s="41">
        <f t="shared" si="0"/>
        <v>79.472859700520829</v>
      </c>
      <c r="I13" s="48">
        <f t="shared" si="1"/>
        <v>0.12590726478869349</v>
      </c>
      <c r="J13" s="41">
        <f t="shared" si="2"/>
        <v>0.19185868920181867</v>
      </c>
    </row>
    <row r="14" spans="1:10" ht="20.5" x14ac:dyDescent="0.5">
      <c r="A14" s="21" t="s">
        <v>4</v>
      </c>
      <c r="B14" s="22" t="s">
        <v>43</v>
      </c>
      <c r="C14" s="32">
        <f>1/(D25+(D29*D33))</f>
        <v>1.584280032996829E-3</v>
      </c>
      <c r="D14" s="22"/>
      <c r="E14" s="53"/>
      <c r="G14" s="27">
        <v>6</v>
      </c>
      <c r="H14" s="41">
        <f t="shared" si="0"/>
        <v>82.784228854709198</v>
      </c>
      <c r="I14" s="48">
        <f t="shared" si="1"/>
        <v>0.13115340082155574</v>
      </c>
      <c r="J14" s="41">
        <f t="shared" si="2"/>
        <v>0.14988960093892084</v>
      </c>
    </row>
    <row r="15" spans="1:10" ht="17.5" x14ac:dyDescent="0.35">
      <c r="A15" s="21"/>
      <c r="B15" s="22"/>
      <c r="C15" s="31"/>
      <c r="D15" s="22"/>
      <c r="E15" s="53"/>
      <c r="G15" s="27">
        <v>7</v>
      </c>
      <c r="H15" s="41">
        <f t="shared" si="0"/>
        <v>73.914490048847497</v>
      </c>
      <c r="I15" s="48">
        <f t="shared" si="1"/>
        <v>0.11710125073353191</v>
      </c>
      <c r="J15" s="41">
        <f t="shared" si="2"/>
        <v>0.11710125073353191</v>
      </c>
    </row>
    <row r="16" spans="1:10" ht="17.5" x14ac:dyDescent="0.35">
      <c r="A16" s="21" t="s">
        <v>5</v>
      </c>
      <c r="B16" s="22" t="s">
        <v>6</v>
      </c>
      <c r="C16" s="49">
        <f>($C$14)*(($C$6/$C$8)^$C$10*($C$6*$C$8))/(FACT($C$10-1)*($C$10*$C$8-$C$6)^2)</f>
        <v>1.4936384022134164</v>
      </c>
      <c r="D16" s="22"/>
      <c r="E16" s="53"/>
      <c r="G16" s="27">
        <v>8</v>
      </c>
      <c r="H16" s="41">
        <f t="shared" si="0"/>
        <v>57.74569535066211</v>
      </c>
      <c r="I16" s="41">
        <f t="shared" si="1"/>
        <v>9.1485352135571796E-2</v>
      </c>
      <c r="J16" s="41">
        <f t="shared" si="2"/>
        <v>9.1485352135571796E-2</v>
      </c>
    </row>
    <row r="17" spans="1:10" ht="17.5" x14ac:dyDescent="0.35">
      <c r="A17" s="21"/>
      <c r="B17" s="22"/>
      <c r="C17" s="50"/>
      <c r="D17" s="22"/>
      <c r="E17" s="53"/>
      <c r="G17" s="27">
        <v>9</v>
      </c>
      <c r="H17" s="41">
        <f t="shared" si="0"/>
        <v>40.101177326848685</v>
      </c>
      <c r="I17" s="41">
        <f t="shared" si="1"/>
        <v>6.3531494538591526E-2</v>
      </c>
      <c r="J17" s="41">
        <f t="shared" si="2"/>
        <v>7.1472931355915467E-2</v>
      </c>
    </row>
    <row r="18" spans="1:10" ht="17.5" x14ac:dyDescent="0.35">
      <c r="A18" s="21" t="s">
        <v>7</v>
      </c>
      <c r="B18" s="22" t="s">
        <v>13</v>
      </c>
      <c r="C18" s="49">
        <f>($C$16)+($C$6/$C$8)</f>
        <v>7.7436384022134161</v>
      </c>
      <c r="D18" s="22"/>
      <c r="E18" s="53"/>
      <c r="G18" s="27">
        <v>10</v>
      </c>
      <c r="H18" s="41">
        <f t="shared" si="0"/>
        <v>25.06323582928043</v>
      </c>
      <c r="I18" s="41">
        <f t="shared" si="1"/>
        <v>3.9707184086619704E-2</v>
      </c>
      <c r="J18" s="41">
        <f t="shared" si="2"/>
        <v>5.5838227621808963E-2</v>
      </c>
    </row>
    <row r="19" spans="1:10" ht="17.5" x14ac:dyDescent="0.35">
      <c r="A19" s="21"/>
      <c r="B19" s="22"/>
      <c r="C19" s="50"/>
      <c r="D19" s="22"/>
      <c r="E19" s="53"/>
      <c r="G19" s="27">
        <v>11</v>
      </c>
      <c r="H19" s="41">
        <f t="shared" si="0"/>
        <v>14.240474903000244</v>
      </c>
      <c r="I19" s="41">
        <f t="shared" si="1"/>
        <v>2.2560900049215741E-2</v>
      </c>
      <c r="J19" s="41">
        <f t="shared" si="2"/>
        <v>4.3623615329538248E-2</v>
      </c>
    </row>
    <row r="20" spans="1:10" ht="17.5" x14ac:dyDescent="0.35">
      <c r="A20" s="21" t="s">
        <v>8</v>
      </c>
      <c r="B20" s="22" t="s">
        <v>9</v>
      </c>
      <c r="C20" s="49">
        <f>$C$16/$C$6</f>
        <v>0.59745536088536655</v>
      </c>
      <c r="D20" s="22" t="s">
        <v>20</v>
      </c>
      <c r="E20" s="53"/>
      <c r="G20" s="27">
        <v>12</v>
      </c>
      <c r="H20" s="41">
        <f t="shared" si="0"/>
        <v>7.4169140119792933</v>
      </c>
      <c r="I20" s="41">
        <f t="shared" si="1"/>
        <v>1.1750468775633198E-2</v>
      </c>
      <c r="J20" s="41">
        <f t="shared" si="2"/>
        <v>3.4080949476201758E-2</v>
      </c>
    </row>
    <row r="21" spans="1:10" ht="17.5" x14ac:dyDescent="0.35">
      <c r="A21" s="21"/>
      <c r="B21" s="22"/>
      <c r="C21" s="50"/>
      <c r="D21" s="22"/>
      <c r="E21" s="53"/>
      <c r="G21" s="27">
        <v>13</v>
      </c>
      <c r="H21" s="41">
        <f t="shared" si="0"/>
        <v>3.5658240442208147</v>
      </c>
      <c r="I21" s="41">
        <f t="shared" si="1"/>
        <v>5.6492638344390386E-3</v>
      </c>
      <c r="J21" s="41">
        <f t="shared" si="2"/>
        <v>2.6625741778282627E-2</v>
      </c>
    </row>
    <row r="22" spans="1:10" ht="17.5" x14ac:dyDescent="0.35">
      <c r="A22" s="21" t="s">
        <v>10</v>
      </c>
      <c r="B22" s="22" t="s">
        <v>14</v>
      </c>
      <c r="C22" s="49">
        <f>$C$20+(1/$C$8)</f>
        <v>3.0974553608853665</v>
      </c>
      <c r="D22" s="22" t="s">
        <v>20</v>
      </c>
      <c r="E22" s="53"/>
      <c r="G22" s="27">
        <v>14</v>
      </c>
      <c r="H22" s="41">
        <f t="shared" si="0"/>
        <v>1.5918857340271493</v>
      </c>
      <c r="I22" s="41">
        <f t="shared" si="1"/>
        <v>2.5219927832317132E-3</v>
      </c>
      <c r="J22" s="41">
        <f t="shared" si="2"/>
        <v>2.0801360764283301E-2</v>
      </c>
    </row>
    <row r="23" spans="1:10" ht="17.5" x14ac:dyDescent="0.35">
      <c r="A23" s="21"/>
      <c r="B23" s="22"/>
      <c r="C23" s="31"/>
      <c r="D23" s="22"/>
      <c r="E23" s="53"/>
      <c r="G23" s="27">
        <v>15</v>
      </c>
      <c r="H23" s="41">
        <f t="shared" si="0"/>
        <v>0.66328572251131224</v>
      </c>
      <c r="I23" s="41">
        <f t="shared" si="1"/>
        <v>1.0508303263465472E-3</v>
      </c>
      <c r="J23" s="41">
        <f t="shared" si="2"/>
        <v>1.6251063097096331E-2</v>
      </c>
    </row>
    <row r="24" spans="1:10" ht="15.5" x14ac:dyDescent="0.35">
      <c r="G24" s="27">
        <v>16</v>
      </c>
      <c r="H24" s="41">
        <f t="shared" si="0"/>
        <v>0.25909598535598133</v>
      </c>
      <c r="I24" s="41">
        <f t="shared" si="1"/>
        <v>4.1048059622912002E-4</v>
      </c>
      <c r="J24" s="41">
        <f t="shared" si="2"/>
        <v>1.2696143044606508E-2</v>
      </c>
    </row>
    <row r="25" spans="1:10" ht="18.5" customHeight="1" x14ac:dyDescent="0.35">
      <c r="A25" s="68" t="s">
        <v>46</v>
      </c>
      <c r="B25" s="69">
        <f>C10-1</f>
        <v>7</v>
      </c>
      <c r="C25" s="56"/>
      <c r="D25" s="57">
        <f>SUM(H8:H15)</f>
        <v>367.22122053116084</v>
      </c>
      <c r="E25" s="72" t="s">
        <v>56</v>
      </c>
      <c r="G25" s="27">
        <v>17</v>
      </c>
      <c r="H25" s="41">
        <f t="shared" si="0"/>
        <v>9.5255876969110781E-2</v>
      </c>
      <c r="I25" s="41">
        <f t="shared" si="1"/>
        <v>1.5091198390776472E-4</v>
      </c>
      <c r="J25" s="41">
        <f t="shared" si="2"/>
        <v>9.9188617535988337E-3</v>
      </c>
    </row>
    <row r="26" spans="1:10" ht="18.5" customHeight="1" x14ac:dyDescent="0.35">
      <c r="A26" s="68"/>
      <c r="B26" s="70"/>
      <c r="C26" s="56"/>
      <c r="D26" s="58"/>
      <c r="E26" s="72"/>
      <c r="G26" s="27">
        <v>18</v>
      </c>
      <c r="H26" s="41">
        <f t="shared" si="0"/>
        <v>3.3074957280941245E-2</v>
      </c>
      <c r="I26" s="41">
        <f t="shared" si="1"/>
        <v>5.2399994412418306E-5</v>
      </c>
      <c r="J26" s="41">
        <f t="shared" si="2"/>
        <v>7.7491107449990885E-3</v>
      </c>
    </row>
    <row r="27" spans="1:10" ht="37" customHeight="1" x14ac:dyDescent="0.35">
      <c r="A27" s="68"/>
      <c r="B27" s="71"/>
      <c r="C27" s="56"/>
      <c r="D27" s="59"/>
      <c r="E27" s="72"/>
      <c r="G27" s="27">
        <v>19</v>
      </c>
      <c r="H27" s="41">
        <f t="shared" si="0"/>
        <v>1.0879920158204355E-2</v>
      </c>
      <c r="I27" s="41">
        <f t="shared" si="1"/>
        <v>1.7236840267242862E-5</v>
      </c>
      <c r="J27" s="41">
        <f t="shared" si="2"/>
        <v>6.0539927695305376E-3</v>
      </c>
    </row>
    <row r="28" spans="1:10" ht="15.5" x14ac:dyDescent="0.35">
      <c r="G28" s="27">
        <v>20</v>
      </c>
      <c r="H28" s="41">
        <f t="shared" si="0"/>
        <v>3.3999750494388614E-3</v>
      </c>
      <c r="I28" s="41">
        <f t="shared" si="1"/>
        <v>5.3865125835133947E-6</v>
      </c>
      <c r="J28" s="41">
        <f t="shared" si="2"/>
        <v>4.7296818511957323E-3</v>
      </c>
    </row>
    <row r="29" spans="1:10" ht="18.5" customHeight="1" x14ac:dyDescent="0.35">
      <c r="C29" s="56"/>
      <c r="D29" s="60">
        <f>($C$6/$C$8)^C10/FACT($C$10)</f>
        <v>57.74569535066211</v>
      </c>
      <c r="E29" s="54"/>
      <c r="G29" s="27">
        <v>21</v>
      </c>
      <c r="H29" s="41">
        <f t="shared" si="0"/>
        <v>1.0118973361425182E-3</v>
      </c>
      <c r="I29" s="41">
        <f t="shared" si="1"/>
        <v>1.603128745093272E-6</v>
      </c>
      <c r="J29" s="41">
        <f t="shared" si="2"/>
        <v>3.6950639462466663E-3</v>
      </c>
    </row>
    <row r="30" spans="1:10" ht="18.5" x14ac:dyDescent="0.35">
      <c r="C30" s="56"/>
      <c r="D30" s="61"/>
      <c r="E30" s="54"/>
      <c r="G30" s="27">
        <v>22</v>
      </c>
      <c r="H30" s="41">
        <f t="shared" si="0"/>
        <v>2.8747083413139727E-4</v>
      </c>
      <c r="I30" s="41">
        <f t="shared" si="1"/>
        <v>4.55434302583316E-7</v>
      </c>
      <c r="J30" s="41">
        <f t="shared" si="2"/>
        <v>2.8867687080052083E-3</v>
      </c>
    </row>
    <row r="31" spans="1:10" ht="18.5" x14ac:dyDescent="0.35">
      <c r="C31" s="56"/>
      <c r="D31" s="62"/>
      <c r="E31" s="54"/>
      <c r="G31" s="27">
        <v>23</v>
      </c>
      <c r="H31" s="41">
        <f t="shared" si="0"/>
        <v>7.8117074492227502E-5</v>
      </c>
      <c r="I31" s="41">
        <f t="shared" si="1"/>
        <v>1.2375932135416194E-7</v>
      </c>
      <c r="J31" s="41">
        <f t="shared" si="2"/>
        <v>2.2552880531290687E-3</v>
      </c>
    </row>
    <row r="32" spans="1:10" ht="15.5" x14ac:dyDescent="0.35">
      <c r="G32" s="27">
        <v>24</v>
      </c>
      <c r="H32" s="41">
        <f t="shared" si="0"/>
        <v>2.0342988149017584E-5</v>
      </c>
      <c r="I32" s="41">
        <f t="shared" si="1"/>
        <v>3.2228989935979675E-8</v>
      </c>
      <c r="J32" s="41">
        <f t="shared" si="2"/>
        <v>1.7619437915070849E-3</v>
      </c>
    </row>
    <row r="33" spans="3:17" ht="18.5" customHeight="1" x14ac:dyDescent="0.35">
      <c r="C33" s="56"/>
      <c r="D33" s="60">
        <f>($C$10*$C$8)/(($C$10*$C$8)-($C$6))</f>
        <v>4.5714285714285703</v>
      </c>
      <c r="E33" s="54"/>
      <c r="G33" s="27">
        <v>25</v>
      </c>
      <c r="H33" s="41">
        <f t="shared" si="0"/>
        <v>5.0857470372543959E-6</v>
      </c>
      <c r="I33" s="41">
        <f t="shared" si="1"/>
        <v>8.0572474839949188E-9</v>
      </c>
      <c r="J33" s="41">
        <f t="shared" si="2"/>
        <v>1.3765185871149103E-3</v>
      </c>
    </row>
    <row r="34" spans="3:17" ht="14.5" customHeight="1" x14ac:dyDescent="0.35">
      <c r="C34" s="56"/>
      <c r="D34" s="61"/>
      <c r="E34" s="54"/>
    </row>
    <row r="35" spans="3:17" ht="18.5" x14ac:dyDescent="0.35">
      <c r="C35" s="56"/>
      <c r="D35" s="62"/>
      <c r="E35" s="54"/>
    </row>
    <row r="40" spans="3:17" x14ac:dyDescent="0.35">
      <c r="Q40" s="1"/>
    </row>
    <row r="47" spans="3:17" x14ac:dyDescent="0.35">
      <c r="Q47" s="2"/>
    </row>
  </sheetData>
  <mergeCells count="12">
    <mergeCell ref="C29:C31"/>
    <mergeCell ref="C33:C35"/>
    <mergeCell ref="D29:D31"/>
    <mergeCell ref="D25:D27"/>
    <mergeCell ref="D33:D35"/>
    <mergeCell ref="I4:J4"/>
    <mergeCell ref="G5:G7"/>
    <mergeCell ref="I5:J5"/>
    <mergeCell ref="A25:A27"/>
    <mergeCell ref="B25:B27"/>
    <mergeCell ref="C25:C27"/>
    <mergeCell ref="E25:E27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MM1</vt:lpstr>
      <vt:lpstr>MG1</vt:lpstr>
      <vt:lpstr>MD1</vt:lpstr>
      <vt:lpstr>MMk</vt:lpstr>
      <vt:lpstr>MMk (L4 WS PS (IKEA) Part 1)</vt:lpstr>
    </vt:vector>
  </TitlesOfParts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Fui Long</dc:creator>
  <cp:lastModifiedBy>KOH WEI XUAN CELEST</cp:lastModifiedBy>
  <dcterms:created xsi:type="dcterms:W3CDTF">2015-11-23T05:20:14Z</dcterms:created>
  <dcterms:modified xsi:type="dcterms:W3CDTF">2026-02-19T18:37:00Z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2022-01-03T07:57:04Z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4a2137fe-ffad-4bc1-a637-1dbf40db30ae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2e5935fb-12cc-453c-a039-62fbc9db3ee9</vt:lpwstr>
  </property>
</Properties>
</file>